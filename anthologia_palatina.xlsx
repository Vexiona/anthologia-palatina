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5af6094a32d894dd/00_Simona/0cărți/Antologia Palatină/0cartea I/Cartea I/Baza Date/"/>
    </mc:Choice>
  </mc:AlternateContent>
  <xr:revisionPtr revIDLastSave="0" documentId="8_{1128E0D7-B35A-4175-91B6-4D7C77D8A729}" xr6:coauthVersionLast="47" xr6:coauthVersionMax="47" xr10:uidLastSave="{00000000-0000-0000-0000-000000000000}"/>
  <bookViews>
    <workbookView xWindow="-120" yWindow="-120" windowWidth="51840" windowHeight="21240" activeTab="3" xr2:uid="{924B4CCD-A5AF-41ED-AB75-A815861529D8}"/>
  </bookViews>
  <sheets>
    <sheet name="Hexameter" sheetId="2" r:id="rId1"/>
    <sheet name="Pentameter" sheetId="4" r:id="rId2"/>
    <sheet name="Iamb" sheetId="5" r:id="rId3"/>
    <sheet name="Author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3" i="2" l="1"/>
  <c r="K342" i="2"/>
  <c r="K341" i="2"/>
  <c r="P343" i="2"/>
  <c r="U341" i="2"/>
  <c r="N342" i="2"/>
  <c r="O342" i="2"/>
  <c r="P342" i="2"/>
  <c r="Q342" i="2"/>
  <c r="O341" i="2"/>
  <c r="P341" i="2"/>
  <c r="Q341" i="2"/>
  <c r="N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</calcChain>
</file>

<file path=xl/sharedStrings.xml><?xml version="1.0" encoding="utf-8"?>
<sst xmlns="http://schemas.openxmlformats.org/spreadsheetml/2006/main" count="3831" uniqueCount="1337">
  <si>
    <t>Hexameter</t>
  </si>
  <si>
    <t>critical edition*</t>
  </si>
  <si>
    <t>hyphenation</t>
  </si>
  <si>
    <t>manuscript version</t>
  </si>
  <si>
    <t>epigram no.</t>
  </si>
  <si>
    <t>verse no.</t>
  </si>
  <si>
    <t>κατὰ στίχον/ elegiac distich</t>
  </si>
  <si>
    <r>
      <t xml:space="preserve">metrical pattern &amp; </t>
    </r>
    <r>
      <rPr>
        <sz val="11"/>
        <color rgb="FFFF0000"/>
        <rFont val="Times New Roman"/>
        <family val="1"/>
      </rPr>
      <t>spondaic hex</t>
    </r>
    <r>
      <rPr>
        <sz val="11"/>
        <color theme="1"/>
        <rFont val="Times New Roman"/>
        <family val="1"/>
      </rPr>
      <t>.</t>
    </r>
  </si>
  <si>
    <t>ms. metrical pattern</t>
  </si>
  <si>
    <t>syntactic caesura &amp; bucolic diaeresis</t>
  </si>
  <si>
    <t>metrical caesura</t>
  </si>
  <si>
    <t>diaereses</t>
  </si>
  <si>
    <t>final word</t>
  </si>
  <si>
    <t>word before caesura</t>
  </si>
  <si>
    <t>bridge violations</t>
  </si>
  <si>
    <t>homodynia</t>
  </si>
  <si>
    <r>
      <rPr>
        <i/>
        <sz val="11"/>
        <color theme="1"/>
        <rFont val="Times New Roman"/>
        <family val="1"/>
      </rPr>
      <t xml:space="preserve">*Antologia Palatină, Cartea I. Poemele creștine </t>
    </r>
    <r>
      <rPr>
        <sz val="11"/>
        <color theme="1"/>
        <rFont val="Times New Roman"/>
        <family val="1"/>
      </rPr>
      <t>[The Palatine Anthology. Book I. The Christian Epigrams], ed.: Simona Nicolae, co-authors: Ștefan Zară, Ștefan Lungu, Cristian Șimon, Sebastian Clinciu, Ecaterina Clinciu, Bucharest, Bucharest University Press, 2026</t>
    </r>
  </si>
  <si>
    <t>Ms.: Codex Palatinus Graecus 23</t>
  </si>
  <si>
    <t>first foot</t>
  </si>
  <si>
    <t>trihem</t>
  </si>
  <si>
    <t>penthem</t>
  </si>
  <si>
    <t>hephthem</t>
  </si>
  <si>
    <t>bucolic</t>
  </si>
  <si>
    <t>D1</t>
  </si>
  <si>
    <t>D2</t>
  </si>
  <si>
    <t>D3</t>
  </si>
  <si>
    <t>D4 (bucolic)</t>
  </si>
  <si>
    <t>D5</t>
  </si>
  <si>
    <t>total</t>
  </si>
  <si>
    <t>oxyton=1, parox.=2, proparox.=3, perisp.=4, properisp.=5</t>
  </si>
  <si>
    <t>Meyer
dactylic 2</t>
  </si>
  <si>
    <t>Hermann
dactylic 4</t>
  </si>
  <si>
    <t>Naeke spondaic 4</t>
  </si>
  <si>
    <t>Hilberg
spondaic 2</t>
  </si>
  <si>
    <t>Θεῖος Ἰουστῖνος, Σοφίης πόσις, ᾧ πόρε Χριστὸς</t>
  </si>
  <si>
    <t>Θεῖ#ος Ἰ#ουσ#τῖ#νος, Σο#φί#ης πό#σις, ᾧ πό#ρε Χρισ#τὸς</t>
  </si>
  <si>
    <t>distich</t>
  </si>
  <si>
    <t>DSDDDT</t>
  </si>
  <si>
    <t>5M</t>
  </si>
  <si>
    <t>B</t>
  </si>
  <si>
    <t>1F</t>
  </si>
  <si>
    <t>7M</t>
  </si>
  <si>
    <t>5, 2</t>
  </si>
  <si>
    <t>1 5</t>
  </si>
  <si>
    <t>μητρὸς ἀπειρογάμοιο δόμον σκάζοντα νοήσας,</t>
  </si>
  <si>
    <t>μη#τρὸς ἀ#πει#ρο#γά#μοι#ο δό#μον σκά#ζον#τα νο#ή#σας,</t>
  </si>
  <si>
    <t>DDDSDS</t>
  </si>
  <si>
    <t>5F</t>
  </si>
  <si>
    <t>6</t>
  </si>
  <si>
    <t>Ὁ πρὶν Ἰουστῖνος περικαλλέα δείματο νηὸν</t>
  </si>
  <si>
    <t>Ὁ πρὶν Ἰ#ουσ#τῖ#νος πε#ρι#καλ#λέ#α δεί#μα#το νη#ὸν</t>
  </si>
  <si>
    <t xml:space="preserve">Ὁ πρὶν Ἰουστῖνος περικαλλέα δείματο νηὼν </t>
  </si>
  <si>
    <t xml:space="preserve">DSDDDS </t>
  </si>
  <si>
    <t>1M, 1F</t>
  </si>
  <si>
    <t>5</t>
  </si>
  <si>
    <t>ὁπλότερος δὲ μετ’ αὐτὸν Ἰουστῖνος βασιλεύων</t>
  </si>
  <si>
    <t>ὁπ#λό#τε#ρος δὲ με#τ' αὐ#τὸν Ἰ#ουσ#τῖ#νος βα#σι#λεύ#ων</t>
  </si>
  <si>
    <t>3M, 3F</t>
  </si>
  <si>
    <t>1, 1</t>
  </si>
  <si>
    <t>M</t>
  </si>
  <si>
    <t>Tοῦτον Ἰωάννῃ, Χριστοῦ μεγάλῳ θεράποντι,</t>
  </si>
  <si>
    <t>Tοῦ#τον Ἰ#ω#άν#νῃ, Χρισ#τοῦ με#γά#λῳ θε#ρά#πον#τι,</t>
  </si>
  <si>
    <t>hex</t>
  </si>
  <si>
    <t>DSSDDT</t>
  </si>
  <si>
    <t>1 4</t>
  </si>
  <si>
    <t>Στούδιος ἀγλαὸν οἶκον ἐδείματο· καρπαλίμως δὲ</t>
  </si>
  <si>
    <t>Στού#δι#ος ἀγ#λα#ὸν οἶ#κον ἐ#δεί#μα#το· καρ#πα#λί#μως δὲ</t>
  </si>
  <si>
    <t>DDDDDT</t>
  </si>
  <si>
    <t>1 3 4</t>
  </si>
  <si>
    <t>τῶν κάμεν εὕρετο μισθόν, ἑλὼν ὑπατηΐδα ῥάβδον.</t>
  </si>
  <si>
    <t>τῶν κά#μεν εὕ#ρε#το μισ#θόν, ἑλ#ὼν ὑ#πα#τη#ΐ#δα ῥάβ#δον.</t>
  </si>
  <si>
    <t>1M</t>
  </si>
  <si>
    <t>1 2 4 6</t>
  </si>
  <si>
    <t>Tόνδε θεῷ κάμες οἶκον, Ἀμάντιε, μεσσόθι πόντου,</t>
  </si>
  <si>
    <t>Tόν#δε θε#ῷ κά#μες οἶ#κον, Ἀ#μάν#τι#ε, μεσ#σό#θι πόν#του,</t>
  </si>
  <si>
    <r>
      <t>DDDDDS</t>
    </r>
    <r>
      <rPr>
        <sz val="11"/>
        <color rgb="FF000000"/>
        <rFont val="Times New Roman"/>
        <family val="1"/>
      </rPr>
      <t xml:space="preserve"> </t>
    </r>
  </si>
  <si>
    <t>3M</t>
  </si>
  <si>
    <t>5, 3</t>
  </si>
  <si>
    <t>1 2 3 4 6</t>
  </si>
  <si>
    <t>Οὐ νότος, οὐ βορέης ἱερὸν σέο δῶμα τινάξει,</t>
  </si>
  <si>
    <t>Οὐ νό#τος, οὐ βο#ρέ#ης ἱ#ε#ρὸν σέ#ο δῶ#μα τι#νά#ξει,</t>
  </si>
  <si>
    <t>DDDDDS</t>
  </si>
  <si>
    <t>4 5 6</t>
  </si>
  <si>
    <t>Ζώοις ἤματα πολλά· σὺ γὰρ νεοθηλέα Ῥώμην</t>
  </si>
  <si>
    <t>Ζώ#οις ἤ#μα#τα πολ#λά· σὺ γὰρ νε#ο#θη#λέ#α Ῥώ#μην</t>
  </si>
  <si>
    <t>SDDDDS</t>
  </si>
  <si>
    <t>Σφωράκιος ποίησε, φυγὼν φλόγα, μάρτυρι νηόν.</t>
  </si>
  <si>
    <t>Σφω#ρά#κι#ος ποί#η#σε, φυ#γὼν φλό#γα, μάρ#τυ#ρι νη#όν.</t>
  </si>
  <si>
    <t>3, 2</t>
  </si>
  <si>
    <t>4  5</t>
  </si>
  <si>
    <t>Σφωράκιε, ζώοντι φίλα θρεπτήρια τίνων</t>
  </si>
  <si>
    <t>Σφω#ρά#κι#ε, ζώ#ον#τι φί#λα θρεπ#τή#ρι#α τί#νων</t>
  </si>
  <si>
    <t>DSDSDS</t>
  </si>
  <si>
    <t>5 6</t>
  </si>
  <si>
    <t>γήθεεν Ἀντόλιος σὸς ἀνεψιός· οἰχομένῳ δὲ</t>
  </si>
  <si>
    <t>γή#θε#εν Ἀν#τό#λι#ος σὸς ἀ#νε#ψι#ός· οἰ#χο#μέ#νῳ δὲ</t>
  </si>
  <si>
    <t>5M, 5F</t>
  </si>
  <si>
    <t>αἰεί σοι γεραρὴν τελέει χάριν, ὥστε καὶ ἄλλην</t>
  </si>
  <si>
    <t>αἰ#εί σοι γε#ρα#ρὴν τε#λέ#ει χά#ριν, ὥσ#τε καὶ ἄλ#λην</t>
  </si>
  <si>
    <t>3 5 6</t>
  </si>
  <si>
    <t>εὗρε καὶ ἐν νηῷ σ' ἀνεθήκατο τὸν κάμες αὐτός.</t>
  </si>
  <si>
    <t>εὗ#ρε καὶ ἐν νη#ῷ σ' ἀ#νε#θή#κα#το τὸν κά#μες αὐ#τός.</t>
  </si>
  <si>
    <t>1 3 4 5</t>
  </si>
  <si>
    <t>Χριστὸν παμβασιλῆα φίλοις καμάτοισι γεραίρων,</t>
  </si>
  <si>
    <t>Χρισ#τὸν παμ#βα#σι#λῆ#α φί#λοις κα#μά#τοι#σι γε#ραί#ρων,</t>
  </si>
  <si>
    <t>3 6</t>
  </si>
  <si>
    <t>τοῦτον Ἰουστινιανὸς ἀγακλέα δείματο νηὸν</t>
  </si>
  <si>
    <t>τοῦ#τον Ἰ#ουσ#τι#νι#α#νὸς ἀ#γακ#λέ#α δεί#μα#το νη#ὸν</t>
  </si>
  <si>
    <r>
      <t>D</t>
    </r>
    <r>
      <rPr>
        <vertAlign val="subscript"/>
        <sz val="11"/>
        <color theme="1"/>
        <rFont val="Times New Roman"/>
        <family val="1"/>
      </rPr>
      <t>Abacc</t>
    </r>
    <r>
      <rPr>
        <sz val="11"/>
        <color theme="1"/>
        <rFont val="Times New Roman"/>
        <family val="1"/>
      </rPr>
      <t>DDDT</t>
    </r>
  </si>
  <si>
    <t>Πέτρῳ καὶ Παύλῳ· θεράπουσι γὰρ εὖχος ὀπάζων,</t>
  </si>
  <si>
    <t>Πέτ#ρῳ καὶ Παύ#λῳ· θε#ρά#που#σι γὰρ εὖ#χος ὀ#πά#ζων,</t>
  </si>
  <si>
    <t>SSDDDS</t>
  </si>
  <si>
    <t>7F</t>
  </si>
  <si>
    <t>H</t>
  </si>
  <si>
    <t>1 2 5 6</t>
  </si>
  <si>
    <t>αὐτῷ δή τις ἄνακτι φέρει πολυκυδέα τιμήν.</t>
  </si>
  <si>
    <t>αὐ#τῷ δή τις ἄ#νακ#τι φέ#ρει πο#λυ#κυ#δέ#α τι#μήν.</t>
  </si>
  <si>
    <t>Ἐνθάδε καὶ ψυχῇ, καὶ ὄμμασι κέρδος ἑτοῖμον·</t>
  </si>
  <si>
    <t>Ἐν#θά#δε καὶ ψυ#χῇ, καὶ ὄμ#μα#σι κέρ#δος ἑ#τοῖ#μον·</t>
  </si>
  <si>
    <t>2 3 4 5 6</t>
  </si>
  <si>
    <t>εὐχαῖσιν μὲν ἕκαστος ὅ τι χρέος ἐστὶν ἑλέσθω,</t>
  </si>
  <si>
    <t>εὐ#χαῖ#σιν μὲν ἕ#κασ#τος ὅ τι χρέ#ος ἐσ#τὶν ἑ#λέσ#θω,</t>
  </si>
  <si>
    <t>τερπέσθω δὲ ὁρῶν κάλλος καὶ δώματος αἴγλην.</t>
  </si>
  <si>
    <t>τερ#πέσ#θω δὲ ὁ#ρῶν κάλ#λος καὶ δώ#μα#τος αἴγ#λην.</t>
  </si>
  <si>
    <t>SDSSDS</t>
  </si>
  <si>
    <t>N</t>
  </si>
  <si>
    <t>Καὶ τόδε σῶν καμάτων παναοίδιμον ἔργον ἐτύχθη,</t>
  </si>
  <si>
    <t>Καὶ τό#δε σῶν κα#μά#των παν#α#οί#δι#μον ἔρ#γον ἐ#τύχ#θη,</t>
  </si>
  <si>
    <t>1 2 4 5 6</t>
  </si>
  <si>
    <t>Tεῤῥάδιε κλυτόμητι· σὺ γὰρ περικαλλέα νηὸν</t>
  </si>
  <si>
    <t>Tεῤ#ῥά#δι#ε κλυ#τό#μη#τι· σὺ γὰρ πε#ρι#καλ#λέ#α νη#ὸν</t>
  </si>
  <si>
    <t>ἀγγελικῆς στρατιῆς σημάντορος αὖτις ἔδειξας.</t>
  </si>
  <si>
    <t>ἀγ#γε#λι#κῆς στρα#τι#ῆς ση#μάν#το#ρος αὖ#τις ἔ#δει#ξας.</t>
  </si>
  <si>
    <t>DDSDDT</t>
  </si>
  <si>
    <t>2 3 4 5</t>
  </si>
  <si>
    <t>Εὐδοκίη μὲν ἄνασσα, θεὸν σπεύδουσα γεραίρειν,</t>
  </si>
  <si>
    <t>Εὐ#δο#κί#η μὲν ἄ#νασ#σα, θε#ὸν σπεύ#δου#σα γε#ραί#ρειν,</t>
  </si>
  <si>
    <t>4 6</t>
  </si>
  <si>
    <t>πρώτη νηὸν ἔτευξε θεοφραδέος Πολυεύκτου·</t>
  </si>
  <si>
    <t>πρώ#τη νη#ὸν ἔ#τευ#ξε θε#οφ#ρα#δέ#ος Πο#λυ#εύκ#του·</t>
  </si>
  <si>
    <t>3F</t>
  </si>
  <si>
    <t>1 6</t>
  </si>
  <si>
    <t>ἀλλ' οὐ τοῖον ἔτευξε καὶ οὐ τόσον· οὔ τινι φειδοῖ,</t>
  </si>
  <si>
    <t>ἀλ#λ' οὐ τοῖ#ον ἔ#τευ#ξε καὶ οὐ τό#σον· οὔ τι#νι φει#δοῖ,</t>
  </si>
  <si>
    <t>2 5</t>
  </si>
  <si>
    <t>οὐ κτεάτων χατέουσα − τίνος βασίλεια χατίζει; −</t>
  </si>
  <si>
    <t>οὐ κτε#ά#των χα#τέ#ου#σα – τί#νος βα#σί#λει#α χα#τί#ζει; –</t>
  </si>
  <si>
    <t>ἀλλ' ὡς θυμὸν ἔχουσα θεοπρόπον, ὅττι γενέθλην</t>
  </si>
  <si>
    <t>ἀλ#λ' ὡς θυ#μὸν ἔ#χου#σα θε#οπ#ρό#πον, ὅτ#τι γε#νέθ#λην</t>
  </si>
  <si>
    <t>καλλείψει δεδαυῖαν ἀμείνονα κόσμον ὀπάζειν.</t>
  </si>
  <si>
    <t>καλ#λεί#ψει δε#δα#υῖ#αν ἀ#μεί#νο#να κόσ#μον ὀ#πά#ζειν.</t>
  </si>
  <si>
    <t>3 4 5 6</t>
  </si>
  <si>
    <t>Ἔνθεν Ἰουλιανή, ζαθέων ἀμάρυγμα τοκήων,</t>
  </si>
  <si>
    <t>Ἔν#θεν Ἰ#ου#λι#α#νή, ζα#θέ#ων ἀ#μά#ρυγ#μα το#κή#ων,</t>
  </si>
  <si>
    <t>1 3 6</t>
  </si>
  <si>
    <t>τέτρατον ἐκ κείνων βασιλήϊον αἷμα λαχοῦσα,</t>
  </si>
  <si>
    <t>τέτ#ρα#τον ἐκ κεί#νων βα#σι#λή#ϊ#ον αἷ#μα λα#χοῦ#σα,</t>
  </si>
  <si>
    <t>1 4 5 6</t>
  </si>
  <si>
    <t>ἐλπίδας οὐκ ἔψευσεν ἀριστώδινος ἀνάσσης,</t>
  </si>
  <si>
    <t>ἐλ#πί#δας οὐκ ἔ#ψευ#σεν ἀ#ρισ#τώ#δι#νος ἀ#νάσ#σης,</t>
  </si>
  <si>
    <t>ἀλλά μιν ἐκ βαιοῖο μέγαν καὶ τοῖον ἐγείρει,</t>
  </si>
  <si>
    <t>ἀλ#λά μιν ἐκ βαι#οῖ#ο μέ#γαν καὶ τοῖ#ον ἐ#γεί#ρει,</t>
  </si>
  <si>
    <t>κῦδος ἀεξήσασα πολυσκήπτρων γενετήρων·</t>
  </si>
  <si>
    <t>κῦ#δος ἀ#ε#ξή#σα#σα πο#λυσ#κήπ#τρων γε#νε#τή#ρων·</t>
  </si>
  <si>
    <t>πάντα γὰρ ὅσσα τέλεσσεν ὑπέρτερα τεῦξε τοκήων,</t>
  </si>
  <si>
    <t>πάν#τα γὰρ ὅσ#σα τέ#λεσ#σεν ὑ#πέρ#τε#ρα τεῦ#ξε το#κή#ων,</t>
  </si>
  <si>
    <t>ὀρθὴν πίστιν ἔχουσα φιλοχρίστοιο μενοινῆς.</t>
  </si>
  <si>
    <t>ὀρ#θὴν πίσ#τιν ἔ#χου#σα φι#λοχ#ρίσ#τοι#ο με#νοι#νῆς.</t>
  </si>
  <si>
    <t>SDDSDS</t>
  </si>
  <si>
    <t>2</t>
  </si>
  <si>
    <t>Τίς γὰρ Ἰουλιανὴν οὐκ ἔκλυεν, ὅττι καὶ αὐτοὺς</t>
  </si>
  <si>
    <t>Τίς γὰρ Ἰ#ου#λι#α#νὴν οὐκ ἔκ#λυ#εν, ὅτ#τι καὶ αὐ#τοὺς</t>
  </si>
  <si>
    <t>DDSDDS</t>
  </si>
  <si>
    <t>1F, 1M</t>
  </si>
  <si>
    <t>εὐκαμάτοις ἔργοισιν ἑοὺς φαίδρυνε τοκῆας,</t>
  </si>
  <si>
    <t>εὐ#κα#μά#τοις ἔρ#γοι#σιν ἑ#οὺς φαί#δρυ#νε το#κῆ#ας,</t>
  </si>
  <si>
    <t>DSDSDT</t>
  </si>
  <si>
    <t>εὐσεβίης ἀλέγουσα; Μόνη δ' ἱδρῶτι δικαίῳ</t>
  </si>
  <si>
    <t>εὐ#σε#βί#ης ἀ#λέ#γου#σα; Μό#νη δ' ἱδ#ρῶ#τι δι#καί#ῳ</t>
  </si>
  <si>
    <t>ἄξιον οἶκον ἔτευξεν ἀειζώῳ Πολυεύκτῳ.</t>
  </si>
  <si>
    <t>ἄ#ξι#ον οἶ#κον ἔ#τευ#ξεν ἀ#ει#ζώ#ῳ Πο#λυ#εύκ#τῳ.</t>
  </si>
  <si>
    <t>1 2 6</t>
  </si>
  <si>
    <t>Καὶ γὰρ ἀεὶ δεδάηκεν ἀμεμφέα δῶρα κομίζειν</t>
  </si>
  <si>
    <t>Καὶ γὰρ ἀ#εὶ δε#δά#η#κεν ἀ#μεμ#φέ#α δῶ#ρα κο#μί#ζειν</t>
  </si>
  <si>
    <t>πᾶσιν ἀεθλητῆρσιν ἐπουρανίου βασιλῆος.</t>
  </si>
  <si>
    <t>πᾶ#σιν ἀ#εθ#λη#τῆρ#σιν ἐπ#ου#ρα#νί#ου βα#σι#λῆ#ος.</t>
  </si>
  <si>
    <t>Πᾶσα χθὼν βοάᾳ, πᾶσα πτόλις, ὅττι τοκῆας</t>
  </si>
  <si>
    <t>Πᾶ#σα χθὼν βο#ά#ᾳ, πᾶ#σα πτό#λις, ὅτ#τι το#κῆ#ας</t>
  </si>
  <si>
    <t>SDSDDT</t>
  </si>
  <si>
    <t>2, 2</t>
  </si>
  <si>
    <t>φαιδροτέρους ποίησεν ἀρειοτέροισιν ἐπ' ἔργοις.</t>
  </si>
  <si>
    <t>φαι#δρο#τέ#ρους ποί#η#σεν ἀ#ρει#ο#τέ#ροι#σιν ἐ#π' ἔρ#γοις.</t>
  </si>
  <si>
    <t>DSDDDS</t>
  </si>
  <si>
    <t>Ποῦ γὰρ Ἰουλιανὴν ἁγίοις οὐκ ἔστιν ἰδέσθαι</t>
  </si>
  <si>
    <t>Ποῦ γὰρ Ἰ#ου#λι#α#νὴν ἁ#γί#οις οὐκ ἔσ#τιν ἰ#δέσ#θαι</t>
  </si>
  <si>
    <t>N?</t>
  </si>
  <si>
    <t>1 3 5 6</t>
  </si>
  <si>
    <t>νηὸν ἀναστήσασαν ἀγακλέα; Ποῦ σέο μούνης</t>
  </si>
  <si>
    <t>νη#ὸν ἀ#νασ#τή#σα#σαν ἀ#γακ#λέ#α; Ποῦ σέ#ο μού#νης</t>
  </si>
  <si>
    <t>εὐσεβέων οὐκ ἔστιν ἰδεῖν σημήϊα χειρῶν;</t>
  </si>
  <si>
    <t>εὐ#σε#βέ#ων οὐκ ἔσ#τιν ἰ#δεῖν ση#μή#ϊ#α χει#ρῶν;</t>
  </si>
  <si>
    <t>2, 4</t>
  </si>
  <si>
    <t>H?</t>
  </si>
  <si>
    <t>3 4 5</t>
  </si>
  <si>
    <t>Ποῖος δ' ἔπλετο χῶρος, ὃς οὐ μάθε σεῖο μενοινὴν</t>
  </si>
  <si>
    <t>Ποῖ#ος δ' ἔπ#λε#το χῶ#ρος, ὃς οὐ μά#θε σεῖ#ο με#νοι#νὴν</t>
  </si>
  <si>
    <t>1 2 3 5</t>
  </si>
  <si>
    <t>εὐσεβίης πλήθουσαν; Ὅλης χθονὸς ἐνναετῆρες</t>
  </si>
  <si>
    <t>εὐ#σε#βί#ης πλή#θου#σαν; Ὅ#λης χθο#νὸς ἐν#να#ε#τῆ#ρες</t>
  </si>
  <si>
    <t>σοὺς καμάτους μέλπουσιν ἀειμνήστους γεγαῶτας.</t>
  </si>
  <si>
    <t>σοὺς κα#μά#τους μέλ#που#σιν ἀ#ει#μνήσ#τους γε#γα#ῶ#τας.</t>
  </si>
  <si>
    <t>Ἔργα γὰρ εὐσεβίης οὐ κρύπτεται· οὐ γὰρ ἀέθλους</t>
  </si>
  <si>
    <t>Ἔρ#γα γὰρ εὐ#σε#βί#ης οὐ κρύπ#τε#ται· οὐ γὰρ ἀ#έθ#λους</t>
  </si>
  <si>
    <t>2, 3</t>
  </si>
  <si>
    <t>1 4 6</t>
  </si>
  <si>
    <t>λήθη ἀποσβέννυσιν ἀριστοπόνων ἀρετάων.</t>
  </si>
  <si>
    <t>λή#θη ἀ#ποσ#βέν#νυ#σιν ἀ#ρισ#το#πό#νων ἀ#ρε#τά#ων.</t>
  </si>
  <si>
    <t>Ὅσσα δὲ σὴ παλάμη θεοπειθέα δώματα τεύχει</t>
  </si>
  <si>
    <t>Ὅσ#σα δὲ σὴ πα#λά#μη θε#ο#πει#θέ#α δώ#μα#τα τεύ#χει</t>
  </si>
  <si>
    <t>οὐδ' αὐτὴ δεδάηκας· ἀμετρήτους γάρ, ὀΐω,</t>
  </si>
  <si>
    <t>οὐ#δ' αὐ#τὴ δε#δά#η#κας· ἀ#μετ#ρή#τους γάρ, ὀ#ΐ#ω,</t>
  </si>
  <si>
    <t>2 6</t>
  </si>
  <si>
    <t>μούνη σὺ ξύμπασαν ἀνὰ χθόνα δείμαο ναούς,</t>
  </si>
  <si>
    <t>μού#νη σὺ ξύμ#πα#σαν ἀ#νὰ χθό#να δεί#μα#ο να#ούς,</t>
  </si>
  <si>
    <t>1, 2</t>
  </si>
  <si>
    <t>1 2 4 5</t>
  </si>
  <si>
    <t>οὐρανίου θεράποντας ἀεὶ τρομέουσα θεοῖο.</t>
  </si>
  <si>
    <t>οὐ#ρα#νί#ου θε#ρά#πον#τας ἀ#εὶ τρο#μέ#ου#σα θε#οῖ#ο.</t>
  </si>
  <si>
    <t>Ἴχνεσι δ' εὐκαμάτοισιν ἐφεσπομένη γενετήρων</t>
  </si>
  <si>
    <t>Ἴχ#νε#σι δ' εὐ#κα#μά#τοι#σιν ἐ#φεσ#πο#μέ#νη γε#νε#τή#ρων</t>
  </si>
  <si>
    <t>ἴχνευσι δ' εὐκαμάτοισιν ἐφεσπομένη γενετήρων</t>
  </si>
  <si>
    <r>
      <t>A</t>
    </r>
    <r>
      <rPr>
        <vertAlign val="subscript"/>
        <sz val="11"/>
        <color theme="1"/>
        <rFont val="Times New Roman"/>
        <family val="1"/>
      </rPr>
      <t>bacc.</t>
    </r>
    <r>
      <rPr>
        <sz val="11"/>
        <color theme="1"/>
        <rFont val="Times New Roman"/>
        <family val="1"/>
      </rPr>
      <t xml:space="preserve">DDDDS </t>
    </r>
  </si>
  <si>
    <t>πᾶσιν, ἀειζώουσαν ἑὴν τεκτήνατο φύτλην,</t>
  </si>
  <si>
    <t>πᾶ#σιν, ἀ#ει#ζώ#ου#σαν ἑ#ὴν τεκ#τή#να#το φύ#τλην,</t>
  </si>
  <si>
    <t>εὐσεβίης ξύμπασαν ἀεὶ πατέουσα πορείην.</t>
  </si>
  <si>
    <t>εὐ#σε#βί#ης ξύμ#πα#σαν ἀ#εὶ πα#τέ#ου#σα πο#ρεί#ην.</t>
  </si>
  <si>
    <t>Τοὔνεκά μιν θεράποντες ἐπουρανίου βασιλῆος,</t>
  </si>
  <si>
    <t>Τοὔ#νε#κά μιν θε#ρά#πον#τες ἐπ#ου#ρα#νί#ου βα#σι#λῆ#ος,</t>
  </si>
  <si>
    <t>ὅσσοις δῶρα δίδωσιν, ὅσοις δωμήσατο νηούς,</t>
  </si>
  <si>
    <t>ὅσ#σοις δῶ#ρα δί#δω#σιν, ὅσ#οις δω#μή#σα#το νη#ούς,</t>
  </si>
  <si>
    <t>1 2 5</t>
  </si>
  <si>
    <t>προφρονέως ἐρύεσθε σὺν υἱέϊ τοῖό τε κούραις·</t>
  </si>
  <si>
    <t>προφ#ρο#νέ#ως ἐ#ρύ#εσ#θε σὺν υἱ#έ#ϊ τοῖ#ό τε κού#ραις·</t>
  </si>
  <si>
    <t>μίμνοι δ' ἄσπετον εὖχος ἀριστοπόνοιο γενέθλης,</t>
  </si>
  <si>
    <t>μίμ#νοι δ' ἄσ#πε#τον εὖ#χος ἀ#ρισ#το#πό#νοι#ο γε#νέθ#λης,</t>
  </si>
  <si>
    <t>1 2 3 6</t>
  </si>
  <si>
    <t>εἰσόκεν ἠέλιος πυριλαμπέα δίφρον ἐλαύνει.</t>
  </si>
  <si>
    <t>εἰσ#ό#κεν ἠ#έ#λι#ος πυ#ρι#λαμ#πέ#α δίφ#ρον ἐ#λαύ#νει.</t>
  </si>
  <si>
    <t>Ποῖος Ἰουλιανῆς χορὸς ἄρκιός ἐστιν ἀέθλοις,</t>
  </si>
  <si>
    <t>Ποῖ#ος Ἰ#ου#λι#α#νῆς χο#ρὸς ἄρ#κι#ός ἐσ#τιν ἀ#έθ#λοις,</t>
  </si>
  <si>
    <t>1 3 4 6</t>
  </si>
  <si>
    <t>ἣ μετὰ Κωνσταντῖνον, ἑῆς κοσμήτορα Ῥώμης,</t>
  </si>
  <si>
    <t>ἣ με#τὰ Κων#σταν#τῖ#νον, ἑ#ῆς κοσ#μή#το#ρα Ῥώ#μης,</t>
  </si>
  <si>
    <t>1 3 4 5 6</t>
  </si>
  <si>
    <t>καὶ μετὰ Θευδοσίου παγχρύσεον ἱερὸν ὄμμα,</t>
  </si>
  <si>
    <t>καὶ με#τὰ Θευ#δο#σί#ου παγ#χρύ#σε#ον ἱ#ε#ρὸν ὄμ#μα,</t>
  </si>
  <si>
    <t>καὶ μετὰ τοσσατίων προγόνων βασιληΐδα ῥίζαν,</t>
  </si>
  <si>
    <t>καὶ με#τὰ τοσ#σα#τί#ων προ#γό#νων βα#σι#λη#ΐ#δα ῥί#ζαν,</t>
  </si>
  <si>
    <t>ἄξιον ἧς γενεῆς καὶ ὑπέρτερον ἤνυσεν ἔργον</t>
  </si>
  <si>
    <t>ἄ#ξι#ον ἧς γε#νε#ῆς καὶ ὑ#πέρ#τε#ρον ἤ#νυ#σεν ἔρ#γον</t>
  </si>
  <si>
    <t>1 2 3 4 5 6</t>
  </si>
  <si>
    <t>εἰν ὀλίγοις ἐτέεσσι; Χρόνον δ' ἐβιήσατο μούνη,</t>
  </si>
  <si>
    <t>εἰν ὀ#λί#γοις ἐ#τέ#εσ#σι; Χρό#νον δ' ἐ#βι#ή#σα#το μού#νη,</t>
  </si>
  <si>
    <t>καὶ σοφίην παρέλασσεν ἀειδομένου Σολομῶνος,</t>
  </si>
  <si>
    <t>καὶ σο#φί#ην πα#ρέ#λασ#σεν ἀ#ει#δο#μέ#νου Σο#λο#μῶ#νος,</t>
  </si>
  <si>
    <t>νηὸν ἀναστήσασα θεηδόχον, οὗ μέγας αἰὼν</t>
  </si>
  <si>
    <t>νη#ὸν ἀ#νασ#τή#σα#σα θε#η#δό#χον, οὗ μέ#γας αἰ#ὼν</t>
  </si>
  <si>
    <t>οὐ δύναται μέλψαι χαρίτων πολυδαίδαλον αἴγλην.</t>
  </si>
  <si>
    <t>οὐ δύ#να#ται μέλ#ψαι χα#ρί#των πο#λυ#δαί#δα#λον αἴ#γλην.</t>
  </si>
  <si>
    <t>Oἷος μὲν προβέβηκε βαθυῤῥίζοισι θεμέθλοις,</t>
  </si>
  <si>
    <t>Oἷ#ος μὲν προ#βέ#βη#κε βα#θυῤ#ῥί#ζοι#σι θε#μέθ#λοις,</t>
  </si>
  <si>
    <t>νέρθεν ἀναθρώσκων τε καὶ αἰθέρος ἄστρα διώκων·</t>
  </si>
  <si>
    <t>νέρ#θεν ἀ#ναθ#ρώσ#κων τε καὶ αἰ#θέ#ρος ἄσ#τρα δι#ώ#κων·</t>
  </si>
  <si>
    <t>νέρθεν ἀναθρώσκων καὶ αἰθέρος ἄστρα διώκων·</t>
  </si>
  <si>
    <t xml:space="preserve">DSTDDS </t>
  </si>
  <si>
    <t>1 5 6</t>
  </si>
  <si>
    <t>οἷος δ' ἀντολίης μηκύνεται ἐς δύσιν ἕρπων,</t>
  </si>
  <si>
    <t>οἷ#ος δ' ἀν#το#λί#ης μη#κύ#νε#ται ἐς δύ#σιν ἕρ#πων,</t>
  </si>
  <si>
    <t>SDSDDS</t>
  </si>
  <si>
    <t>ἀῤῥήτοις Φαέθοντος ὑπαστράπτων ἀμαρυγαῖς</t>
  </si>
  <si>
    <t>ἀῤ#ῥή#τοις Φα#έ#θον#τος ὑ#πασ#τράπ#των ἀ#μα#ρυ#γαῖς</t>
  </si>
  <si>
    <t>τῇ καὶ τῇ πλευρῇσι· μέσης δ' ἑκάτερθε πορείης</t>
  </si>
  <si>
    <t>τῇ καὶ τῇ πλευ#ρῇ#σι· μέ#σης δ' ἑ#κά#τερ#θε πο#ρεί#ης</t>
  </si>
  <si>
    <t>κίονες ἀῤῥήκτοις ἐπὶ κίοσιν ἑστηῶτες</t>
  </si>
  <si>
    <t>κί#ο#νες ἀῤ#ῥήκ#τοις ἐ#πὶ κί#ο#σιν ἑσ#τη#ῶ#τες</t>
  </si>
  <si>
    <t>DSDDST</t>
  </si>
  <si>
    <t>χρυσορόφου ἀκτῖνας ἀερτάζουσι καλύπτρης·</t>
  </si>
  <si>
    <t>χρυ#σο#ρό#φου ἀκ#τῖ#νας ἀ#ερ#τά#ζου#σι κα#λύπ#τρης·</t>
  </si>
  <si>
    <t>3  6</t>
  </si>
  <si>
    <t>κόλποι δ' ἀμφοτέρωθεν ἐπ' ἀψίδεσσι χυθέντες</t>
  </si>
  <si>
    <t>κόλ#ποι δ' ἀμ#φο#τέ#ρω#θεν ἐ#π' ἀ#ψί#δεσ#σι χυ#θέν#τες</t>
  </si>
  <si>
    <t>SDDSDT</t>
  </si>
  <si>
    <t>φέγγος ἀειδίνητον ἐμαιώσαντο σελήνης·</t>
  </si>
  <si>
    <t>φέγ#γος ἀ#ει#δί#νη#τον ἐ#μαι#ώ#σαν#το σε#λή#νης·</t>
  </si>
  <si>
    <t>τοῖχοι δ' ἀντιπέρηθεν ἀμετρήτοισι κελεύθοις</t>
  </si>
  <si>
    <t>τοῖ#χοι δ' ἀν#τι#πέ#ρη#θεν ἀ#μετ#ρή#τοι#σι κε#λεύ#θοις</t>
  </si>
  <si>
    <t>θεσπεσίους λειμῶνας ἀνεζώσαντο μετάλλων,</t>
  </si>
  <si>
    <t>θεσ#πε#σί#ους λει#μῶ#νας ἀ#νε#ζώ#σαν#το με#τάλ#λων,</t>
  </si>
  <si>
    <t>οὓς φύσις ἀνθήσασα μέσοις ἐνὶ βένθεσι πέτρης</t>
  </si>
  <si>
    <t>οὓς φύ#σις ἀν#θή#σα#σα μέ#σοις ἐ#νὶ βέν#θε#σι πέ#τρης</t>
  </si>
  <si>
    <t>1  5 6</t>
  </si>
  <si>
    <t>ἀγλαΐην ἔκλεπτε, θεοῦ δ' ἐφύλασσε μελάθροις</t>
  </si>
  <si>
    <t>ἀγ#λα#ΐ#ην ἔκ#λεπ#τε, θε#οῦ δ' ἐ#φύ#λασ#σε με#λάθ#ροις</t>
  </si>
  <si>
    <t>δῶρον Ἰουλιανῆς, ἵνα θέσκελα ἔργα τελέσσῃ,</t>
  </si>
  <si>
    <t>δῶ#ρον Ἰ#ου#λι#α#νῆς, ἵ#να θέσ#κε#λα ἔρ#γα τε#λέσ#σῃ,</t>
  </si>
  <si>
    <t>ἀχράντοις κραδίης ὑπὸ νεύμασι ταῦτα καμοῦσα.</t>
  </si>
  <si>
    <t>ἀχ#ράν#τοις κρα#δί#ης ὑ#πὸ νεύ#μα#σι ταῦ#τα κα#μοῦ#σα.</t>
  </si>
  <si>
    <t>SDDDDT</t>
  </si>
  <si>
    <t>Τίς δὲ φέρων θοὸν ἴχνος ἐπὶ ζεφυρηΐδας αὔρας</t>
  </si>
  <si>
    <t>Τίς δὲ φέ#ρων θο#ὸν ἴχ#νος ἐ#πὶ ζε#φυ#ρη#ΐ#δας αὔ#ρας</t>
  </si>
  <si>
    <t>1 3  4 6</t>
  </si>
  <si>
    <t>ὑμνοπόλος σοφίης, ἑκατὸν βλεφάροισι πεποιθώς,</t>
  </si>
  <si>
    <t>ὑμ#νο#πό#λος σο#φί#ης, ἑ#κα#τὸν βλε#φά#ροι#σι πε#ποι#θώς,</t>
  </si>
  <si>
    <t>4</t>
  </si>
  <si>
    <t>τοξεύσει ἑκάτερθε πολύτροπα δήνεα τέχνης,</t>
  </si>
  <si>
    <t>το#ξεύ#σει ἑ#κά#τε#ρθε πο#λύτ#ρο#πα δή#νε#α τέχ#νης,</t>
  </si>
  <si>
    <t>τοξεύσει ἑκάτερθε πολύτροπα λίνεα τέχνης,</t>
  </si>
  <si>
    <r>
      <t>SDDDA</t>
    </r>
    <r>
      <rPr>
        <vertAlign val="subscript"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S</t>
    </r>
  </si>
  <si>
    <t>οἶκον ἰδὼν λάμποντα, περίδρομον ἄλλον ἐπ' ἄλλῳ;</t>
  </si>
  <si>
    <t>οἶ#κον ἰ#δὼν λάμ#πον#τα, πε#ρίδ#ρο#μον ἄλ#λον ἐ#π' ἄλ#λῳ;</t>
  </si>
  <si>
    <t>οἶκον δ' ἰδὼν λάμποντα, περίδρομον ἄλλον ἐπ' ἄλλῳ;</t>
  </si>
  <si>
    <r>
      <t>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 xml:space="preserve">.SDDDS </t>
    </r>
  </si>
  <si>
    <t>Ἔνθεν καὶ γραφίδων ἱερῶν ὑπὲρ ἄντυγος αὐλῆς</t>
  </si>
  <si>
    <t>Ἔν#θεν καὶ γρα#φί#δων ἱ#ε#ρῶν ὑ#πὲρ ἄν#τυ#γος αὐ#λῆς</t>
  </si>
  <si>
    <t>ἔνθ' ἵνα καὶ γραφίδων ἱερῶν ὑπὲρ ἄντυγος αὐλῆς</t>
  </si>
  <si>
    <t>ἔστιν ἰδεῖν μέγα θαῦμα, πολύφρονα Κωνσταντῖνον,</t>
  </si>
  <si>
    <t>ἔσ#τιν ἰ#δεῖν μέ#γα θαῦ#μα, πο#λύφ#ρο#να Κων#σταν#τῖ#νον,</t>
  </si>
  <si>
    <t>DDDDST</t>
  </si>
  <si>
    <t>πῶς προφυγὼν εἴδωλα θεημάχον ἔσβεσε λύσσαν</t>
  </si>
  <si>
    <t>πῶς προ#φυ#γὼν εἴ#δω#λα θε#η#μά#χον ἔσ#βε#σε λύσ#σαν</t>
  </si>
  <si>
    <t>καὶ Τριάδος φάος εὗρ&lt;εν&gt; ἐν ὕδασι γυῖα καθήρας.</t>
  </si>
  <si>
    <t>καὶ Τρι#ά#δος φά#ος εὗ#ρ&lt;εν&gt; ἐν ὕ#δα#σι γυῖ#α κα#θή#ρας.</t>
  </si>
  <si>
    <t>καὶ Τριάδος φάος εὗρ ἐν ὕδασι γυῖα καθήρας.</t>
  </si>
  <si>
    <t>DDDPDS</t>
  </si>
  <si>
    <t>Τοῖον Ἰουλιανή, μετὰ μυρίον ἑσμὸν ἀέθλων,</t>
  </si>
  <si>
    <t>Τοῖ#ον Ἰ#ου#λι#α#νή, με#τὰ μυ#ρί#ον ἑσ#μὸν ἀ#έθ#λων,</t>
  </si>
  <si>
    <t>ἤνυσε τοῦτον ἄεθλον ὑπὲρ ψυχῆς γενετήρων</t>
  </si>
  <si>
    <t>ἤ#νυ#σε τοῦ#τον ἄ#εθ#λον ὑ#πὲρ ψυ#χῆς γε#νε#τή#ρων</t>
  </si>
  <si>
    <t>καὶ σφετέρου βιότοιο καὶ ἐσσομένων καὶ ἐόντων.</t>
  </si>
  <si>
    <t>καὶ σφε#τέ#ρου βι#ό#τοι#ο καὶ ἐσ#σο#μέ#νων καὶ ἐ#όν#των.</t>
  </si>
  <si>
    <t>Eἰμὶ δόμος Τριάδος, τρισσὴ δέ με τεῦξε γενέθλη.</t>
  </si>
  <si>
    <t>Eἰ#μὶ δό#μος Τρι#ά#δος, τρισ#σὴ δέ με τεῦ#ξε γε#νέθ#λη.</t>
  </si>
  <si>
    <t>7M, 7F</t>
  </si>
  <si>
    <t>Πρώτη μὲν πολέμους καὶ βάρβαρα φῦλα φυγοῦσα</t>
  </si>
  <si>
    <t>Πρώ#τη μὲν πο#λέ#μους καὶ βάρ#βα#ρα φῦ#λα φυ#γοῦ#σα</t>
  </si>
  <si>
    <t>τεύξατο καὶ μ' ἀνέθηκε θεῷ, ζωάγρια μόχθων,</t>
  </si>
  <si>
    <t>τεύ#ξα#το καὶ μ' ἀ#νέ#θη#κε θε#ῷ, ζω#άγ#ρι#α μόχ#θων,</t>
  </si>
  <si>
    <t>Θευδοσίου θυγάτηρ Εὐδοξία· ἐκ δέ με κείνης</t>
  </si>
  <si>
    <t>Θευ#δο#σί#ου θυ#γά#τηρ Εὐ#δο#ξί#α· ἐκ δέ με κεί#νης</t>
  </si>
  <si>
    <t>Πλακιδίη κόσμησε σὺν ὀλβίστῳ παρακοίτῃ·</t>
  </si>
  <si>
    <t>Πλα#κι#δί#η κόσ#μη#σε σὺν ὀλ#βίσ#τῳ πα#ρα#κοί#τῃ·</t>
  </si>
  <si>
    <t>εἰ δέ που ἀγλαΐης ἐπεδεύετο κάλλος ἐμεῖο,</t>
  </si>
  <si>
    <t>εἰ δέ που ἀγ#λα#ΐ#ης ἐ#πε#δεύ#ε#το κάλ#λος ἐ#μεῖ#ο,</t>
  </si>
  <si>
    <t>τήνδε μοι ὀλβιόδωρος ὑπὲρ μνήμης γενετήρων</t>
  </si>
  <si>
    <t>τήν#δε μοι ὀλ#βι#ό#δω#ρος ὑ#πὲρ μνή#μης γε#νε#τή#ρων</t>
  </si>
  <si>
    <t>δῶκεν Ἰουλιανὴ καὶ ὑπέρτατον ὤπασε κῦδος</t>
  </si>
  <si>
    <t>δῶ#κεν Ἰ#ου#λι#α#νὴ καὶ ὑ#πέρ#τα#τον ὤ#πα#σε κῦ#δος</t>
  </si>
  <si>
    <t>μητέρι καὶ γενέτῃ καὶ ἀγακλέϊ μητρὶ τεκούσης,</t>
  </si>
  <si>
    <t>μη#τέ#ρι καὶ γε#νέ#τῃ καὶ ἀ#γακ#λέ#ϊ μη#τρὶ τε#κού#σης,</t>
  </si>
  <si>
    <t>κόσμον ἀεξήσασα παλαίτερον ἐς νέον ἔργον.</t>
  </si>
  <si>
    <t>κόσ#μον ἀ#ε#ξή#σα#σα πα#λαί#τε#ρον ἐς νέ#ον ἔρ#γον.</t>
  </si>
  <si>
    <t>Κάλλος ἔχον καὶ πρόσθεν ἐπήρατον, ἀλλ᾽ ἐπὶ μορφῇ</t>
  </si>
  <si>
    <t>Κάλ#λος ἔ#χον καὶ πρόσ#θεν ἐ#πή#ρα#τον, ἀλ#λ' ἐ#πὶ μορ#φῇ</t>
  </si>
  <si>
    <t>Οὕτω γῆρας ἐμὸν μετὰ μητέρα καὶ μετὰ τηθὴν</t>
  </si>
  <si>
    <t>Οὕ#τω γῆ#ρας ἐ#μὸν με#τὰ μη#τέ#ρα καὶ με#τὰ τη#θὴν</t>
  </si>
  <si>
    <t>Ἦν ἄρα καὶ κάλλους ἔτι κάλλιον εὖτ' ἐμὸν ἔργον,</t>
  </si>
  <si>
    <t>Ἦν ἄ#ρα καὶ κάλ#λους ἔ#τι κάλ#λι#ον εὖ#τ' ἐ#μὸν ἔρ#γον,</t>
  </si>
  <si>
    <t>καὶ πρὶν ἐὸν περίπυστον, ἀοίδιμον ἐς χθόνα πᾶσαν,</t>
  </si>
  <si>
    <t>καὶ πρὶν ἐ#ὸν πε#ρί#πυσ#τον, ἀ#οί#δι#μον ἐς χθό#να πᾶ#σαν,</t>
  </si>
  <si>
    <t>3, 3</t>
  </si>
  <si>
    <t>ἀγλαΐης προτέρης ἐς ὑπέρτερον ἤγαγε κάλλος</t>
  </si>
  <si>
    <t>ἀγ#λα#ΐ#ης προ#τέ#ρης ἐς ὑ#πέρ#τε#ρον ἤ#γα#γε κάλ#λος</t>
  </si>
  <si>
    <t xml:space="preserve">τόσσον Ἰουλιανή, ὅσον ἄστρασιν ἀντιφερίζειν. </t>
  </si>
  <si>
    <t xml:space="preserve">τόσ#σον Ἰ#ου#λι#α#νή, ὅ#σον ἄσ#τρα#σιν ἀν#τι#φε#ρί#ζειν. </t>
  </si>
  <si>
    <t>Aὐτὴν ἐργοπόνοισιν ἐπιπνείουσαν ἀρωγὴν</t>
  </si>
  <si>
    <t>Aὐ#τὴν ἐρ#γο#πό#νοι#σιν ἐ#πιπ#νεί#ου#σαν ἀ#ρω#γὴν</t>
  </si>
  <si>
    <t>οὔποτε γὰρ τοῖόν τε τόσον τ' εὐδαίδαλον ἔργον</t>
  </si>
  <si>
    <t>οὔ#πο#τε γὰρ τοῖ#όν τε τό#σον τ' εὐ#δαί#δα#λον ἔρ#γον</t>
  </si>
  <si>
    <t>οὔποτε γὰρ τοῖόν τε τόσοντε εὐδαίδαλον ἔργον</t>
  </si>
  <si>
    <r>
      <t>DSDC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DT</t>
    </r>
  </si>
  <si>
    <t>1 2 3 5 6</t>
  </si>
  <si>
    <t>Οὐκέτι θαυμάζεις προτέρων κλέος· οὐ διὰ τέχνης</t>
  </si>
  <si>
    <t>Οὐ#κέ#τι θαυ#μά#ζεις προ#τέ#ρων κλέ#ος· οὐ δι#ὰ τέ#χνης</t>
  </si>
  <si>
    <t>εὖχος ἐν ὀψιγόνοις λίπον ἄσπετον, ὁσσάτιόν περ</t>
  </si>
  <si>
    <t>εὖ#χος ἐν ὀ#ψι#γό#νοις λί#πον ἄσ#πε#τον, ὁσ#σά#τι#όν περ</t>
  </si>
  <si>
    <t>κῦδος Ἰουλιανῆς πινυτόφρονος, ἣ χάριν ἔργων</t>
  </si>
  <si>
    <t>κῦ#δος Ἰ#ου#λι#α#νῆς πι#νυ#τόφ#ρο#νος, ἣ χά#ριν ἔρ#γων</t>
  </si>
  <si>
    <t>ἀρχεγόνων νίκησε νοήματα πάνσοφα φωτῶν.</t>
  </si>
  <si>
    <t>ἀρ#χε#γό#νων νί#κη#σε νο#ή#μα#τα πάν#σο#φα φω#τῶν.</t>
  </si>
  <si>
    <t>4 5</t>
  </si>
  <si>
    <t>Τῆς ἀγαθῆς ἀγαθὸς μὲν ἐγὼ κύκλος Ἀγαθονίκης</t>
  </si>
  <si>
    <t>Τῆς ἀ#γα#θῆς ἀ#γα#θὸς μὲν ἐ#γὼ κύ#κλος Ἀ#γα#θο#νί#κης</t>
  </si>
  <si>
    <t>DDDDTbS</t>
  </si>
  <si>
    <t>Ὦ, πυρὸς ἀενάοιο σοφὴν ὠδῖνα φυλάσσων,</t>
  </si>
  <si>
    <t>Ὦ, πυ#ρὸς ἀ#εν#ά#οι#ο σο#φὴν ὠ#δῖ#να φυ#λάσ#σων,</t>
  </si>
  <si>
    <t>&lt; Κλαυδιανοῦ &gt;</t>
  </si>
  <si>
    <t>ἐμβεβαὼς κόσμοιο παλινδίνητον ἀνάγκην,</t>
  </si>
  <si>
    <t>ἐμ#βε#βα#ὼς κόσ#μοι#ο πα#λιν#δί#νη#τον ἀ#νάγ#κην,</t>
  </si>
  <si>
    <t>Χριστέ, θεοῤῥήτοιο βίου φυσίζοε πηγή,</t>
  </si>
  <si>
    <t>Χρισ#τέ, θε#οῤ#ῥή#τοι#ο βί#ου φυ#σί#ζο#ε πη#γή,</t>
  </si>
  <si>
    <t>πατρὸς ἀσημάντοιο θεοῦ πρωτόσπορε φωνή,</t>
  </si>
  <si>
    <t>πατ#ρὸς ἀ#ση#μάν#τοι#ο θε#οῦ πρω#τόσ#πο#ρε φω#νή,</t>
  </si>
  <si>
    <t>ὃς μετὰ μητρῴων τοκετῶν ἐγκύμονα φόρτον</t>
  </si>
  <si>
    <t>ὃς με#τὰ μητ#ρῴ#ων το#κε#τῶν ἐγ#κύ#μο#να φόρ#τον</t>
  </si>
  <si>
    <t>καὶ γόνον αὐτοτέλεστον ἀνυμφεύτων ὑμεναίων</t>
  </si>
  <si>
    <t>καὶ γό#νον αὐ#το#τέ#λεσ#τον ἀ#νυμ#φεύ#των ὑ#με#ναί#ων</t>
  </si>
  <si>
    <t>στήσας ἄσσυρίης γενεῆς ἑτερόφρονα λύσσαν,</t>
  </si>
  <si>
    <t>στή#σας ἄσ#συ#ρί#ης γε#νε#ῆς ἑ#τε#ρόφ#ρο#να λύσ#σαν,</t>
  </si>
  <si>
    <t>ὄργια δ' εἰδώλων κενεῶν ψευδώνυμα λύσας,</t>
  </si>
  <si>
    <t>ὄρ#γι#α δ' εἰ#δώ#λων κε#νε#ῶν ψευ#δώ#νυ#μα λύ#σας,</t>
  </si>
  <si>
    <t>αἰθέρος ἀμφιβέβηκας ἐφ' ἑπτάζωνον ὀχῆα,</t>
  </si>
  <si>
    <t>αἰ#θέ#ρος ἀμ#φι#βέ#βη#κας ἐ#φ' ἑπ#τά#ζω#νον ὀ#χῆ#α,</t>
  </si>
  <si>
    <t>DDDSDT</t>
  </si>
  <si>
    <t>ἀγγελικαῖς πτερύγεσσιν ἐν ἀῤῥήτοισι θαάσσων,</t>
  </si>
  <si>
    <t>ἀγ#γε#λι#καῖς πτε#ρύ#γεσ#σιν ἐν ἀῤ#ῥή#τοι#σι θα#άσ#σων,</t>
  </si>
  <si>
    <t>ἵλαθι, παγγενέταο θεοῦ πρεσβήϊον ὄμμα,</t>
  </si>
  <si>
    <t>ἵ#λα#θι, παγ#γε#νέ#τα#ο θε#οῦ πρεσ#βή#ϊ#ον ὄμ#μα,</t>
  </si>
  <si>
    <t>φρουρὲ βίου, σῶτερ μερόπων, αἰῶνος ἀνάσσων.</t>
  </si>
  <si>
    <t>φρου#ρὲ βί#ου, σῶ#τερ με#ρό#πων, αἰ#ῶ#νος ἀ#νάσ#σων.</t>
  </si>
  <si>
    <t>Ἀρτιφανές, †πολιοῦχε, παλαιγενές, υἱὲ νεογνέ,</t>
  </si>
  <si>
    <t>Ἀρ#τι#φα#νές, †πο#λι#οῦ#χε, πα#λαι#γε#νές, υἱ#ὲ νε#ογ#νέ,</t>
  </si>
  <si>
    <t>1, 5, 2</t>
  </si>
  <si>
    <t xml:space="preserve">2 3 </t>
  </si>
  <si>
    <t>αἰὲν ἐὼν προεών τε, ὑπέρτατε, ὕστατε, Χριστέ,</t>
  </si>
  <si>
    <t>αἰ#ὲν ἐ#ὼν προ#ε#ών τε, ὑ#πέρ#τα#τε, ὕσ#τα#τε, Χρισ#τέ,</t>
  </si>
  <si>
    <t>ἀθανάτοιο πατρός τε ὁμόχρονε, πάμπαν ὁμοῖε...</t>
  </si>
  <si>
    <t>ἀ#θα#νά#τοι#ο πα#τρός τε ὁ#μόχ#ρο#νε, πάμ#παν ὁ#μοῖ#ε...</t>
  </si>
  <si>
    <t>Παῖ, γέρον, αἰώνων προγενέστερε, πατρὸς ὁμῆλιξ…</t>
  </si>
  <si>
    <t>Παῖ, γέ#ρον, αἰ#ώ#νων προ#γε#νέσ#τε#ρε, πατ#ρὸς ὁ#μῆ#λιξ…</t>
  </si>
  <si>
    <t xml:space="preserve">1 4 6 </t>
  </si>
  <si>
    <t>Πατρὸς ἐπουρανίου λόγε πάνσοφε, κοίρανε κόσμου,</t>
  </si>
  <si>
    <t>Πατ#ρὸς ἐ#που#ρα#νί#ου λό#γε πάν#σο#φε, κοί#ρα#νε κόσ#μου,</t>
  </si>
  <si>
    <t>ὁ βροτέην γενεὴν τιμήσας εἰκόνι σεῖο,</t>
  </si>
  <si>
    <t>ὁ βρο#τέ#ην γε#νε#ὴν τι#μή#σας εἰ#κό#νι σεῖ#ο,</t>
  </si>
  <si>
    <t>DDSSDT</t>
  </si>
  <si>
    <t>3 4 6</t>
  </si>
  <si>
    <t>σὴν χάριν ἄμμιν ὄπαζε καὶ ὀλβιόδωρον ἀρωγήν·</t>
  </si>
  <si>
    <t>σὴν χά#ριν ἄμ#μιν ὄ#πα#ζε καὶ ὀλ#βι#ό#δω#ρον ἀ#ρω#γήν·</t>
  </si>
  <si>
    <t xml:space="preserve">1 2 </t>
  </si>
  <si>
    <t>εἰς σὲ γὰρ εἰσορόωσιν ἐν ἐλπίσιν ὄμματα πάντων.</t>
  </si>
  <si>
    <t>εἰς σὲ γὰρ εἰ#σο#ρό#ω#σιν ἐν ἐλ#πί#σιν ὄμ#μα#τα πάν#των.</t>
  </si>
  <si>
    <t>Ἀθανάτου πατρὸς υἱὲ συνάχρονε, κοίρανε πάντων,</t>
  </si>
  <si>
    <t>Ἀ#θα#νά#του πα#τρὸς υἱ#ὲ συ#νάχ#ρο#νε, κοί#ρα#νε πάν#των,</t>
  </si>
  <si>
    <t>δμωῒ τεῷ, τῷ τήνδε βίβλον γράψαντι Μαρίνῳ,</t>
  </si>
  <si>
    <t>δμω#ῒ τε#ῷ, τῷ τήν#δε βί#βλον γρά#ψαν#τι Μα#ρί#νῳ,</t>
  </si>
  <si>
    <t>2 3 6</t>
  </si>
  <si>
    <t>Σύνθρονε καὶ συνάναρχε τεῷ πατρὶ πνεύματί τ' ἐσθλῷ,</t>
  </si>
  <si>
    <t>Σύν#θρο#νε καὶ συ#νά#ναρ#χε τε#ῷ πα#τρὶ πνεύ#μα#τί τ' ἐσ#θλῷ,</t>
  </si>
  <si>
    <t>οἰχομένων ὄντων τε καὶ ἐσσομένων βασιλεύων,</t>
  </si>
  <si>
    <t>οἰ#χο#μέ#νων ὄν#των τε καὶ ἐσ#σο#μέ#νων βα#σι#λεύ#ων,</t>
  </si>
  <si>
    <t>τῷ ταῦτα γράψαντι τεὴν χάριν αὐτὸς ὀπάζοις,</t>
  </si>
  <si>
    <t>τῷ ταῦ#τα γρά#ψαν#τι τε#ὴν χά#ριν αὐ#τὸς ὀ#πά#ζοις,</t>
  </si>
  <si>
    <t>ὄφρα κε σῇς ἐφετμῇσι καλῶς βίου οἶμον ὁδεύοι.</t>
  </si>
  <si>
    <t>ὄφ#ρα κε σῇς ἐ#φετ#μῇ#σι κα#λῶς βί#ου οἶ#μον ὁ#δεύ#οι.</t>
  </si>
  <si>
    <t>Χριστέ, θεοῦ σοφίη, κόσμου μεδέων καὶ ἀνάσσων,</t>
  </si>
  <si>
    <t>Χρισ#τέ, θε#οῦ σο#φί#η, κόσ#μου με#δέ#ων καὶ ἀ#νάσ#σων,</t>
  </si>
  <si>
    <t>ἡμετέρην τὸ πάροιθε πλάσας μεροπηΐδα φύτλην,</t>
  </si>
  <si>
    <t>ἡ#με#τέ#ρην τὸ πά#ροι#θε πλά#σας με#ρο#πη#ΐ#δα φύτ#λην,</t>
  </si>
  <si>
    <t>M?</t>
  </si>
  <si>
    <t>δός με θέειν βίου οἶμον ἐν ὑμετέραις ἐφετμῇσι.</t>
  </si>
  <si>
    <t>δός με θέ#ειν βί#ου οἶ#μον ἐν ὑ#με#τέ#ραις ἐ#φετ#μῇ#σι.</t>
  </si>
  <si>
    <t>Ὑψιμέδων θεοῦ υἱέ, φαεσφόρον ἀΐδιον φῶς,</t>
  </si>
  <si>
    <t>Ὑ#ψι#μέ#δων θε#οῦ υἱ#έ, φα#εσ#φό#ρον ἀ#ΐ#δι#ον φῶς,</t>
  </si>
  <si>
    <t>Ὑψιμέδων θεοῦ υἱέ, φωσφόρον ἀΐδιον φῶς,</t>
  </si>
  <si>
    <t>DDTDDS</t>
  </si>
  <si>
    <t>σήν μοι ὄπαζε χάριν καὶ νῦν καὶ ἔπειτα καὶ αἰεί,</t>
  </si>
  <si>
    <t>σήν μοι ὄ#πα#ζε χά#ριν καὶ νῦν καὶ ἔ#πει#τα καὶ αἰ#εί,</t>
  </si>
  <si>
    <t>σήν μοι ὤπαζε χάριν καὶ νῦν καὶ ἔπειτα καὶ αἰεί,</t>
  </si>
  <si>
    <r>
      <t>C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DSDDS</t>
    </r>
  </si>
  <si>
    <t xml:space="preserve">1 4 </t>
  </si>
  <si>
    <t>ὡς προθέλυμνον ἐοῦσαν ὅτῳ καὶ ὅπῃ κατανεύσεις.</t>
  </si>
  <si>
    <t>ὡς προ#θέ#λυμ#νον ἐ#οῦ#σαν ὅ#τῳ καὶ ὅ#πῃ κα#τα#νεύ#σεις.</t>
  </si>
  <si>
    <t>ὡς προθέλυμνον ὄυσαν οὕτω καὶ ὅπῃ κατανεύσεις.</t>
  </si>
  <si>
    <r>
      <t>DTC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DDS</t>
    </r>
  </si>
  <si>
    <t>Πανσθενὲς υἱὲ θεοῦ, Χριστέ, προάναρχε ἁπάντων,</t>
  </si>
  <si>
    <t>Παν#σθε#νὲς υἱ#ὲ θε#οῦ, Χρισ#τέ, προ#ά#ναρ#χε ἁ#πάν#των,</t>
  </si>
  <si>
    <t>4, 1</t>
  </si>
  <si>
    <t>πᾶσιν ἐπιχθονίοις σωτήρια νάματα βλύζων,</t>
  </si>
  <si>
    <t>πᾶ#σιν ἐ#πιχ#θο#νί#οις σω#τή#ρι#α νά#μα#τα βλύ#ζων,</t>
  </si>
  <si>
    <t>μητρὸς ἀπειρογάμοιο τεῆς λιτέων ἐπακούων,</t>
  </si>
  <si>
    <t>μητ#ρὸς ἀ#πει#ρο#γά#μοι#ο τε#ῆς λι#τέ#ων ἐ#πα#κού#ων,</t>
  </si>
  <si>
    <t>σὴν χάριν ἄμμιν ὄπαζε καὶ ἐν μύθοις καὶ ἐν ἔργοις.</t>
  </si>
  <si>
    <t>σὴν χά#ριν ἄμ#μιν ὄ#πα#ζε καὶ ἐν μύ#θοις καὶ ἐν ἔρ#γοις.</t>
  </si>
  <si>
    <t>Xριστέ, θεοῦ σοφίη, χάριν ἔμπασον εὐεπιάων</t>
  </si>
  <si>
    <t>Xρισ#τέ, θε#οῦ σο#φί#η, χά#ριν ἔμ#πα#σον εὐ#ε#πι#ά#ων</t>
  </si>
  <si>
    <t>2 4 6</t>
  </si>
  <si>
    <t>ὃς τόδε τεῦχος ἔγραψεν ἑαῖς χείρεσσι Μαρῖνος,</t>
  </si>
  <si>
    <t>ὃς τό#δε τεῦ#χος ἔ#γρα#ψεν ἑ#αῖς χεί#ρεσ#σι Μα#ρῖ#νος,</t>
  </si>
  <si>
    <t>ὃς τόδε τεῦχος ἔγραψεν ἑαῖς χερσὶ Μαρῖνος,</t>
  </si>
  <si>
    <t>DDDSPT</t>
  </si>
  <si>
    <t>Χριστέ, τεὴν προΐαλλε χάριν καμάτοισιν ἐμεῖο.</t>
  </si>
  <si>
    <t>Χρισ#τέ, τε#ὴν προ#ΐ#αλ#λε χά#ριν κα#μά#τοι#σιν ἐ#μεῖ#ο.</t>
  </si>
  <si>
    <t>Χριστέ, τεὴν προῒ ἄλλοις χάριν καμάτοισιν ἐμεῖο.</t>
  </si>
  <si>
    <r>
      <t>DDA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>DDT</t>
    </r>
  </si>
  <si>
    <t>Ὁ Χριστὸς καὶ ἐμοῖς ἐπιτάῤῥοθος ἔσσεται ἔργοις.</t>
  </si>
  <si>
    <t>Ὁ Χρισ#τὸς καὶ ἐ#μοῖς ἐ#πι#τάῤ#ῥο#θος ἔσ#σε#ται ἔρ#γοις.</t>
  </si>
  <si>
    <t>Χριστὸς ἐμοῖς καμάτοισιν ἀρηγόνα χεῖρα τιταίνοι.</t>
  </si>
  <si>
    <t>Χρισ#τὸς ἐ#μοῖς κα#μά#τοι#σιν ἀ#ρη#γό#να χεῖ#ρα τι#ταί#νοι.</t>
  </si>
  <si>
    <t>2 5 6</t>
  </si>
  <si>
    <t>Χριστέ, σύ μοι προΐαλλε τεὴν πολύολβον ἀρωγήν.</t>
  </si>
  <si>
    <t>Χρισ#τέ, σύ μοι προ#ΐ#αλ#λε τε#ὴν πο#λύ#ολ#βον ἀ#ρω#γήν.</t>
  </si>
  <si>
    <t>Χριστέ, τεὴν καμάτοισιν ἐμοῖς χάριν αὐτὸς ὀπάζοις.</t>
  </si>
  <si>
    <t>Χρισ#τέ, τε#ὴν κα#μά#τοι#σιν ἐ#μοῖς χά#ριν αὐ#τὸς ὀ#πά#ζοις.</t>
  </si>
  <si>
    <t>Χριστὲ μάκαρ, μερόπων φάος ἄφθιτον, ἐλπὶς ἁπάντων,</t>
  </si>
  <si>
    <t>Χρισ#τὲ μά#καρ, με#ρό#πων φά#ος ἄφ#θι#τον, ἐλ#πὶς ἁ#πάν#των,</t>
  </si>
  <si>
    <t>ἐσθλὰ δίδου χατέουσι, τὰ δ' οὐ καλὰ νόσφιν ἐρύκοις.</t>
  </si>
  <si>
    <t>ἐσ#θλὰ δί#δου χα#τέ#ου#σι, τὰ δ' οὐ κα#λὰ νόσ#φιν ἐ#ρύ#κοις.</t>
  </si>
  <si>
    <t>Παμμεδέοντα, ἄνασσα, θεοῖο γόνον, τεόν υἱόν,</t>
  </si>
  <si>
    <t>Παμ#με#δέ#ον#τα, ἄ#νασ#σα, θε#οῖ#ο γό#νον, τε#όν υἱ#όν,</t>
  </si>
  <si>
    <t>ἄγγελοι ὃν τρομέουσι, τεῇς παλάμῃσι κρατοῦσα,</t>
  </si>
  <si>
    <t>ἄγ#γε#λοι ὃν τρο#μέ#ου#σι, τε#ῇς πα#λά#μῃ#σι κρα#τοῦ#σα,</t>
  </si>
  <si>
    <t>πρευμενέα πραπίδεσσιν ὑπὲρ μερόπων τελέουσα,</t>
  </si>
  <si>
    <t>πρευ#με#νέ#α πρα#πί#δεσ#σιν ὑ#πὲρ με#ρό#πων τε#λέ#ου#σα,</t>
  </si>
  <si>
    <t>ῥύεο συντηροῦσα ἀπήμονα κόσμον ἅπαντα.</t>
  </si>
  <si>
    <t>ῥύ#ε#ο συν#τη#ροῦ#σα ἀ#πή#μο#να κόσ#μον ἅ#παν#τα.</t>
  </si>
  <si>
    <t>Ὥδε ταλαιπαθέων χραισμήϊα θέσκελα κεῖται,</t>
  </si>
  <si>
    <t>Ὥ#δε τα#λαι#πα#θέ#ων χραισ#μή#ϊ#α θέσ#κε#λα κεῖ#ται,</t>
  </si>
  <si>
    <t>καὶ γὰρ ἀνιάζουσα πόνων φύσις αὐτίκα φεύγει</t>
  </si>
  <si>
    <t>καὶ γὰρ ἀ#νι#ά#ζου#σα πό#νων φύ#σις αὐ#τί#κα φεύ#γει</t>
  </si>
  <si>
    <t>Ὡς θρασὺ μορφῶσαι τὸν ἀσώματον. Ἀλλὰ καὶ εἰκὼν</t>
  </si>
  <si>
    <t>Ὡς θρα#σὺ μορ#φῶ#σαι τὸν ἀ#σώ#μα#τον. Ἀλ#λὰ καὶ εἰ#κὼν</t>
  </si>
  <si>
    <t>Ἄσκοπον ἀγγελίαρχον, ἀσώματον εἴδεϊ μορφῆς ‒</t>
  </si>
  <si>
    <t>Ἄσ#κο#πον ἀγ#γε#λί#αρ#χον, ἀ#σώ#μα#τον εἴ#δε#ϊ μορ#φῆς –</t>
  </si>
  <si>
    <t xml:space="preserve">1 4 5 </t>
  </si>
  <si>
    <t>Ἔμπης οὐκ ἀχάριστον, ἐπεὶ βροτὸς εἰκόνα λεύσσων</t>
  </si>
  <si>
    <t>Ἔμ#πης οὐκ ἀ#χά#ρισ#τον, ἐ#πεὶ βρο#τὸς εἰ#κό#να λεύσ#σων</t>
  </si>
  <si>
    <t>οὐκέτι δ' ἀλλοπρόσαλλον ἔχει σέβας, ἀλλ' ἐν ἑαυτῷ</t>
  </si>
  <si>
    <t>οὐ#κέ#τι δ' ἀλ#λο#πρό#σαλ#λον ἔ#χει σέ#βας, ἀλ#λ' ἐν ἑ#αυ#τῷ</t>
  </si>
  <si>
    <t>ὄμματα δ' ὀτρύνουσι βαθὺν νόον· οἶδε δὲ τέχνη</t>
  </si>
  <si>
    <t>ὄμ#μα#τα δ' ὀτ#ρύ#νου#σι βα#θὺν νό#ον· οἶ#δε δὲ τέχ#νη</t>
  </si>
  <si>
    <t>1  4 5 6</t>
  </si>
  <si>
    <t>Καρικὸς Αἰμιλιανὸς Ἰωάννης τε σὺν αὐτῷ,</t>
  </si>
  <si>
    <t>Κα#ρι#κὸς Αἰ#μι#λι#α#νὸς Ἰ#ω#άν#νης τε σὺν αὐ#τῷ,</t>
  </si>
  <si>
    <t>τέτρατον, ἀγγελίαρχε, νόμων λυκάβαντα λαχόντες</t>
  </si>
  <si>
    <t>τέτ#ρα#τον, ἀγ#γε#λί#αρ#χε, νό#μων λυ#κά#βαν#τα λα#χόν#τες</t>
  </si>
  <si>
    <t>1  6</t>
  </si>
  <si>
    <t>αἰτοῦντες τὸν ἔπειτα καλὸν χρόνον. Ἀλλὰ φανείης</t>
  </si>
  <si>
    <t>αἰ#τοῦν#τες τὸν ἔ#πει#τα κα#λὸν χρό#νον. Ἀλ#λὰ φα#νεί#ης</t>
  </si>
  <si>
    <t>Ἵλαθι μορφωθείς, ἀρχάγγελε. Σὴ γὰρ ὀπωπὴ</t>
  </si>
  <si>
    <t>Ἵ#λα#θι μορ#φω#θείς, ἀρ#χάγ#γε#λε. Σὴ γὰρ ὀ#πω#πὴ</t>
  </si>
  <si>
    <t>DSSDDS</t>
  </si>
  <si>
    <t>1, 3</t>
  </si>
  <si>
    <t>Ἐκ σέο γὰρ Θεόδωρος ἔχει ζωστῆρα μαγίστρου</t>
  </si>
  <si>
    <t>Ἐκ σέ#ο γὰρ Θε#ό#δω#ρος ἔ#χει ζωσ#τῆ#ρα μα#γίσ#τρου</t>
  </si>
  <si>
    <t>Τῆς δ' εὐγνωμοσύνης μάρτυς γραφίς· ὑμετέρην γὰρ</t>
  </si>
  <si>
    <t>Τῆς δ' εὐγ#νω#μο#σύ#νης μάρ#τυς γρα#φίς· ὑ#με#τέ#ρην γὰρ</t>
  </si>
  <si>
    <t>1</t>
  </si>
  <si>
    <t>Σάλπιγγες, στεροπαί, γαῖα τρέμει· ἀλλ' ἐπὶ μήτρην</t>
  </si>
  <si>
    <t>Σάλ#πιγ#γες, στε#ρο#παί, γαῖ#α τρέ#μει· ἀλ#λ' ἐ#πὶ μή#τρην</t>
  </si>
  <si>
    <t>3, 1, 2</t>
  </si>
  <si>
    <t>Oὐρανὸς ἡ φάτνη, καὶ οὐρανοῦ ἔπλετο μείζων·</t>
  </si>
  <si>
    <t>Oὐ#ρα#νὸς ἡ φάτ#νη, καὶ οὐ#ρα#νοῦ ἔπ#λε#το μεί#ζων·</t>
  </si>
  <si>
    <t>Εἷς χορός, ἓν μέλος ἀνθρώποισι καὶ ἀγγελιώταις,</t>
  </si>
  <si>
    <t>Εἷς χο#ρός, ἓν μέ#λος ἀν#θρώ#ποι#σι καὶ ἀγ#γε#λι#ώ#ταις,</t>
  </si>
  <si>
    <t xml:space="preserve">Οὐρανὸς ἡ φάτνη, καὶ οὐρανοῦ ἔπλετο μείζων, </t>
  </si>
  <si>
    <t xml:space="preserve">Οὐ#ρα#νὸς ἡ φάτ#νη, καὶ οὐ#ρα#νοῦ ἔπ#λε#το μεί#ζων, </t>
  </si>
  <si>
    <t>οὕνεκεν ὅνπερ ἔδεκτο ἄναξ πέλεν οὐρανιώνων.</t>
  </si>
  <si>
    <t>οὕ#νε#κεν ὅν#περ ἔ#δεκ#το ἄ#ναξ πέ#λεν οὐ#ρα#νι#ών#ων.</t>
  </si>
  <si>
    <t xml:space="preserve">Οὐκέτι δῶρ' ἀνάγουσι μάγοι πυρὶ ἠελίῳ τε· </t>
  </si>
  <si>
    <t xml:space="preserve">Οὐ#κέ#τι δῶ#ρ' ἀ#νά#γου#σι μά#γοι πυ#ρὶ ἠ#ε#λί#ῳ τε· </t>
  </si>
  <si>
    <t>ἠέλιον γὰρ ἔτευξε τόδε βρέφος, ὡς πυρὸς αὐγάς.</t>
  </si>
  <si>
    <t>ἠ#έ#λι#ον γὰρ ἔ#τευ#ξε τό#δε βρέ#φος, ὡς πυ#ρὸς αὐ#γάς.</t>
  </si>
  <si>
    <t xml:space="preserve">Δέχνυσο, Βηθλεέμ, ὃν προέειπε προφήτης ἐσθλὸς </t>
  </si>
  <si>
    <t xml:space="preserve">Δέχ#νυ#σο, Βηθ#λε#έμ, ὃν προ#έ#ει#πε προ#φή#της ἐσ#θλὸς </t>
  </si>
  <si>
    <t>1 3 5</t>
  </si>
  <si>
    <t>ἵξεσθαι λαῶν ἡγούμενον ἐκ σοῦ ἁπάντων.</t>
  </si>
  <si>
    <t>ἵ#ξεσ#θαι λα#ῶν ἡ#γού#με#νον ἐκ σοῦ ἁ#πάν#των.</t>
  </si>
  <si>
    <t>SSSDDS</t>
  </si>
  <si>
    <t>Τίπτε, Ῥαχήλ, γοόωσα πικρὸν κατὰ δάκρυον εἴβεις;</t>
  </si>
  <si>
    <t>Τίπ#τε, Ῥα#χήλ, γο#ό#ω#σα πι#κρὸν κα#τὰ δάκ#ρυ#ον εἴ#βεις;</t>
  </si>
  <si>
    <t>Τίπτε, Ῥαχήλ, γόωσα πικρὸν κατὰ δάκρυον εἴβεις;</t>
  </si>
  <si>
    <t>DTDDDS</t>
  </si>
  <si>
    <t>Ὀλλυμένην ὁρόωσα γονὴν κατὰ δάκρυον εἴβω.</t>
  </si>
  <si>
    <t>Ὀλ#λυ#μέ#νην ὁ#ρό#ω#σα γο#νὴν κα#τὰ δάκ#ρυ#ον εἴ#βω.</t>
  </si>
  <si>
    <t xml:space="preserve">Χαῖρε, κόρη χαρίεσσα, μακαρτάτη, ἄφθορε νύμφη· </t>
  </si>
  <si>
    <t xml:space="preserve">Χαῖ#ρε, κό#ρη χα#ρί#εσ#σα, μα#καρ#τά#τη, ἄφ#θο#ρε νύμ#φη· </t>
  </si>
  <si>
    <t>υἷα θεοῦ λαγόνεσσιν ἄτερ πατρὸς ἔμβρυον ἕξεις.</t>
  </si>
  <si>
    <t>υἷ#α θε#οῦ λα#γό#νεσ#σιν ἄ#τερ πατ#ρὸς ἔμ#βρυ#ον ἕ#ξεις.</t>
  </si>
  <si>
    <t xml:space="preserve">Ἔνδοθι γαστρὸς ἐὼν σκιρτήμασιν εἶπε προφήτης </t>
  </si>
  <si>
    <t xml:space="preserve">Ἔν#δο#θι γασ#τρὸς ἐ#ὼν σκιρ#τή#μα#σιν εἶ#πε προ#φή#της </t>
  </si>
  <si>
    <t>σὸν γόνον ὡς θεός ἐστι, καὶ ᾔνεσε πότνια μήτηρ.</t>
  </si>
  <si>
    <t>σὸν γό#νον ὡς θε#ός ἐσ#τι, καὶ ᾔ#νε#σε πότ#νι#α μή#τηρ.</t>
  </si>
  <si>
    <t xml:space="preserve">Πρεσβύτα, παῖδα δέχοιο, Ἀδὰμ προγενέστερον ὄντα, </t>
  </si>
  <si>
    <t xml:space="preserve">Πρεσ#βύ#τα, παῖ#δα δέ#χοι#ο, Ἀ#δὰμ προ#γε#νέσ#τε#ρον ὄν#τα, </t>
  </si>
  <si>
    <t>2 4 5 6</t>
  </si>
  <si>
    <t>ὅς σε βίου λύσει τε καὶ ἐς βίον ἄφθιτον ἄξει.</t>
  </si>
  <si>
    <t>ὅς σε βί#ου λύ#σει τε καὶ ἐς βί#ον ἄφ#θι#τον ἄ#ξει.</t>
  </si>
  <si>
    <t xml:space="preserve">Πατρὸς ἀπ' ἀθανάτοιο μέγα σθένος ἤλυθε πνεῦμα, </t>
  </si>
  <si>
    <t xml:space="preserve">Πατ#ρὸς ἀ#π' ἀ#θα#νά#τοι#ο μέ#γα σθέ#νος ἤ#λυ#θε πνεῦ#μα, </t>
  </si>
  <si>
    <t>υἱὸς ἐπεὶ βαπτίζετ' Ἰορδάνου ἀμφὶ ῥέεθρα.</t>
  </si>
  <si>
    <t>υἱ#ὸς ἐ#πεὶ βαπ#τί#ζε#τ' Ἰ#ορ#δά#νου ἀμ#φὶ ῥέ#ε#θρα.</t>
  </si>
  <si>
    <t xml:space="preserve">Ἀδὰμ &lt;ἐν&gt; ἦν ζο&lt;φερῷ&gt;..... </t>
  </si>
  <si>
    <t xml:space="preserve">Ἀ#δὰμ &lt;ἐν&gt; ἦν ζο&lt;#φε#ρῷ&gt;..... </t>
  </si>
  <si>
    <t>hex?</t>
  </si>
  <si>
    <t>DD...</t>
  </si>
  <si>
    <t>2 3...</t>
  </si>
  <si>
    <t>Χριστὸς ἔφη· „Πρόμολ' ὧδε“, καὶ ἔλλιπε Λάζαρος ᾅδην,</t>
  </si>
  <si>
    <t>Χρισ#τὸς ἔ#φη· „Πρό#μο#λ' ὧ#δε“, καὶ ἔλ#λι#πε Λά#ζα#ρος ᾅ#δην,</t>
  </si>
  <si>
    <t>2, 5</t>
  </si>
  <si>
    <t>αὐαλέῳ μυκτῆρι παλίνσοον ἆσθμα κομίζων.</t>
  </si>
  <si>
    <t>αὐ#α#λέ#ῳ μυκ#τῆ#ρι πα#λίν#σο#ον ἆσ#θμα κο#μί#ζων.</t>
  </si>
  <si>
    <t>3 4 5  6</t>
  </si>
  <si>
    <t xml:space="preserve">Ψυχὴν αὐτὸς ἔτευξε, δέμας μόρφωσεν ὁ αὐτός· </t>
  </si>
  <si>
    <t xml:space="preserve">Ψυ#χὴν αὐ#τὸς ἔ#τευ#ξε, δέ#μας μόρ#φω#σεν ὁ αὐ#τός· </t>
  </si>
  <si>
    <t>Τέτρατον ἦμαρ ἔην, καὶ Λάζαρος ἔγρετο τύμβου.</t>
  </si>
  <si>
    <t>Τέτ#ρα#τον ἦ#μαρ ἔ#ην, καὶ Λά#ζα#ρος ἔγ#ρε#το τύμ#βου.</t>
  </si>
  <si>
    <t xml:space="preserve">Χαῖρε, Σιὼν θύγατερ, καὶ δέρκεο Χριστὸν ἄνακτα </t>
  </si>
  <si>
    <t xml:space="preserve">Χαῖ#ρε, Σι#ὼν θύ#γα#τερ, καὶ δέρ#κε#ο Χρισ#τὸν ἄ#νακ#τα </t>
  </si>
  <si>
    <t xml:space="preserve">1 2 4 </t>
  </si>
  <si>
    <t>πώλῳ ἐφεζόμενον καὶ ἐς πάθος αἶψα κιόντα.</t>
  </si>
  <si>
    <t>πώ#λῳ ἐ#φε#ζό#με#νον καὶ ἐς πά#θος αἶ#ψα κι#όν#τα.</t>
  </si>
  <si>
    <t>Ἀμνὸν ἔπαυσε νόμου καὶ ἄμβροτον ὤπασε θῦμα</t>
  </si>
  <si>
    <t>Ἀμ#νὸν ἔ#παυ#σε νό#μου καὶ ἄμ#βρο#τον ὤ#πα#σε θῦ#μα</t>
  </si>
  <si>
    <t>Ὦ, πάθος, ὦ, σταυρός, παθέων ἐλατήριον αἷμα,</t>
  </si>
  <si>
    <t>Ὦ, πά#θος, ὦ, σταυ#ρός, πα#θέ#ων ἐ#λα#τή#ρι#ον αἷ#μα,</t>
  </si>
  <si>
    <t>Ὦ, πάθος, ὦ, σταυρός, παθῶν ἐλατήριον αἷμα,</t>
  </si>
  <si>
    <t>DSTDDT</t>
  </si>
  <si>
    <t xml:space="preserve">Παρθένου υἱὸν ἔφη τὸν παρθένον, ἄλλον ἑαυτόν. </t>
  </si>
  <si>
    <t xml:space="preserve">Παρ#θέ#νου υἱ#ὸν ἔ#φη τὸν παρ#θέ#νον, ἄλ#λον ἑ#αυ#τόν. </t>
  </si>
  <si>
    <t>Χριστὸς ἐὼν θεὸς εἷλε νέκυς ἐξ ᾅδου πάντας·</t>
  </si>
  <si>
    <t>Χρισ#τὸς ἐ#ὼν θε#ὸς εἷ#λε νέ#κυς ἐξ ᾅ#δου πάν#τας·</t>
  </si>
  <si>
    <t>DDDSST</t>
  </si>
  <si>
    <t>2 3 5 6</t>
  </si>
  <si>
    <t>μοῦνον δὲ βροτολοιγὸν ἀκήριον ἔλλιπεν ᾍδην.</t>
  </si>
  <si>
    <t>μοῦ#νον δὲ βρο#το#λοι#γὸν ἀ#κή#ρι#ον ἔλ#λι#πεν ᾍ#δην.</t>
  </si>
  <si>
    <t xml:space="preserve">1 2 4 5 6 </t>
  </si>
  <si>
    <t xml:space="preserve">Ψυχῆς ἐν φλιῇσιν ἐμῆς σωτήριον αἷμα </t>
  </si>
  <si>
    <t xml:space="preserve">Ψυ#χῆς ἐν φλι#ῇ#σιν ἐ#μῆς σω#τή#ρι#ον αἷ#μα </t>
  </si>
  <si>
    <t>SSDSDT</t>
  </si>
  <si>
    <t>Εἷς πόκος ὄμβρον ἔχει, λεκάνῃ δρόσον ὤπασεν αὐτός·</t>
  </si>
  <si>
    <t>Εἷς πό#κος ὄμ#βρον ἔ#χει, λε#κά#νῃ δρό#σον ὤ#πα#σεν αὐ#τός·</t>
  </si>
  <si>
    <t>Αἰγυπτίη κρύφιόν τε βρέφος καὶ ἐγγύθεν ὕδωρ·</t>
  </si>
  <si>
    <t>Αἰ#γυπ#τί#η κρύ#φι#όν τε βρέ#φος καὶ ἐγ#γύ#θεν ὕ#δωρ·</t>
  </si>
  <si>
    <t>Σταυροφανῶς τανύεις παλάμας τίνος εἵνεκα, Μωσῆ;</t>
  </si>
  <si>
    <t>Σταυ#ρο#φα#νῶς τα#νύ#εις πα#λά#μας τί#νος εἵ#νε#κα, Μω#σῆ;</t>
  </si>
  <si>
    <t>Ῥύεο σὴν ἐθνικὴν νύμφην παρὰ ὕδασι, Μωσῆ,</t>
  </si>
  <si>
    <t>Ῥύ#ε#ο σὴν ἐθ#νι#κὴν νύμ#φην πα#ρὰ ὕ#δα#σι, Μω#σῆ,</t>
  </si>
  <si>
    <t>Λάρνακι χρυσείῃ ῥόος εἴκαθεν· ἵλαθι, Χριστέ,</t>
  </si>
  <si>
    <t>Λάρ#να#κι χρυ#σεί#ῃ ῥό#ος εἴ#κα#θεν· ἵ#λα#θι, Χρισ#τέ,</t>
  </si>
  <si>
    <t>1 4 5</t>
  </si>
  <si>
    <t>Ἐξ ἐθνῶν καὶ Ἄγαρ. Τί δὲ ἄγγελος; Ἢ τί τὸ ὕδωρ;</t>
  </si>
  <si>
    <t>Ἐξ ἐθ#νῶν καὶ Ἄ#γαρ. Τί δὲ ἄγ#γε#λος; Ἢ τί τὸ ὕ#δωρ;</t>
  </si>
  <si>
    <t>Ἑπτάκι τοὺς δέκα φοίνικας, δυοκαίδεκα πηγὰς</t>
  </si>
  <si>
    <t>Ἑπ#τά#κι τοὺς δέ#κα φοί#νι#κας, δυ#ο#καί#δε#κα πη#γὰς</t>
  </si>
  <si>
    <t>2 3 5</t>
  </si>
  <si>
    <t xml:space="preserve">Ἀβραὰμ υἱὸν ἄγει θυσίην θεῷ· ἵλαθι· ποίην </t>
  </si>
  <si>
    <t xml:space="preserve">Ἀβ#ρα#ὰμ υἱ#ὸν ἄ#γει θυ#σί#ην θε#ῷ· ἵ#λα#θι· ποί#ην </t>
  </si>
  <si>
    <t>Μελχισεδὲκ βασιλεῦ, ἱερεῦ, ἄρτους τε καὶ οἶνον</t>
  </si>
  <si>
    <t>― Μελ#χι#σε#δὲκ βα#σι#λεῦ, ἱ#ε#ρεῦ, ἄρ#τους τε καὶ οἶ#νον</t>
  </si>
  <si>
    <t>1, 4, 4</t>
  </si>
  <si>
    <t>2 3 4 6</t>
  </si>
  <si>
    <t>Μορφὴν ἐνθάδε μοῦνον ἔχει θεός· ὕστερον αὖτε</t>
  </si>
  <si>
    <t>Μορ#φὴν ἐν#θά#δε μοῦ#νον ἔ#χει θε#ός· ὕσ#τε#ρον αὖ#τε</t>
  </si>
  <si>
    <t>Μορφὴν ἐνθάδε μoύνην ἔχει θεός· ὕστερον αὖτε</t>
  </si>
  <si>
    <r>
      <t>SDA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>DDT</t>
    </r>
  </si>
  <si>
    <t>Πνοιὴν μὲν διὰ πνεῦμα, δέρας δὲ λάχον διὰ γράμμα·</t>
  </si>
  <si>
    <t>Πνοι#ὴν μὲν δι#ὰ πνεῦ#μα, δέ#ρας δὲ λά#χον δι#ὰ γράμ#μα·</t>
  </si>
  <si>
    <t>Νυμφίε μουνογενές, νύμφη ἐθνική σε φιλοῦσα</t>
  </si>
  <si>
    <t>Νυμ#φί#ε μου#νο#γε#νές, νύμ#φη ἐθ#νι#κή σε φι#λοῦ#σα</t>
  </si>
  <si>
    <t>Τηλόθεν οὐχ ὑδάτων μνηστεύετο πότνα Ῥεβέκκα,</t>
  </si>
  <si>
    <t>Τη#λό#θεν οὐχ ὑ#δά#των μνησ#τεύ#ε#το πότ#να Ῥε#βέκ#κα,</t>
  </si>
  <si>
    <t xml:space="preserve">Εὐχὴ Ἐλισσαίου, Σωμανίτι, δὶς πόρεν υἱόν, </t>
  </si>
  <si>
    <t xml:space="preserve">Εὐ#χὴ Ἐ#λισ#σαί#ου, Σω#μα#νί#τι, δὶς πό#ρεν υἱ#όν, </t>
  </si>
  <si>
    <t xml:space="preserve">5 </t>
  </si>
  <si>
    <t>Τοῦτο δέρας προλέγει ἀμνὸν θεοῦ εἵνεκα πάντων</t>
  </si>
  <si>
    <t>Τοῦ#το δέ#ρας προ#λέ#γει ἀμ#νὸν θε#οῦ εἵ#νε#κα πάν#των</t>
  </si>
  <si>
    <t xml:space="preserve">1 4 5 6 </t>
  </si>
  <si>
    <t xml:space="preserve">Ἐν νῷ ἔχων πέφρικα πατὴρ τίνος ἔκλυε Δαβὶδ </t>
  </si>
  <si>
    <t xml:space="preserve">Ἐν νῷ ἔ#χων πέφ#ρι#κα πα#τὴρ τί#νος ἔκ#λυ#ε Δα#βὶδ </t>
  </si>
  <si>
    <t xml:space="preserve">Οὔνομα τῇ πηγῇ Ἐσταλμένος· ἀλλὰ τίς ἐκ τοῦ </t>
  </si>
  <si>
    <t xml:space="preserve">Οὔ#νο#μα τῇ πη#γῇ Ἐσ#ταλ#μέ#νος· ἀλ#λὰ τίς ἐκ τοῦ </t>
  </si>
  <si>
    <t xml:space="preserve">1 2 3 </t>
  </si>
  <si>
    <t>Οὐ τύπος, ἀλλὰ θεὸς καὶ νυμφίος ἐνθάδε νύμφην</t>
  </si>
  <si>
    <t>Οὐ τύ#πος, ἀλ#λὰ θε#ὸς καὶ νυμ#φί#ος ἐν#θά#δε νύμ#φην</t>
  </si>
  <si>
    <t>Τεῦξε μὲν ἀτρεκέως οἶνον θεός· ὅσσα δὲ κρυπτὰ</t>
  </si>
  <si>
    <t>Τεῦ#ξε μὲν ἀ#τρε#κέ#ως οἶ#νον θε#ός· ὅσ#σα δὲ κρυπ#τὰ</t>
  </si>
  <si>
    <t>Βλύζει ἐλαιηρὴ κάλπις καὶ κίστη ἀλεύρου,</t>
  </si>
  <si>
    <t>Βλύ#ζει ἐ#λαι#η#ρὴ κάλ#πις καὶ κίσ#τη ἀ#λεύ#ρου,</t>
  </si>
  <si>
    <t>Βλύζει λαιψηρὴ κάλπις καὶ κίστη ἀλεύρου,</t>
  </si>
  <si>
    <t>DSSSDS</t>
  </si>
  <si>
    <r>
      <t>SSSSA</t>
    </r>
    <r>
      <rPr>
        <vertAlign val="subscript"/>
        <sz val="11"/>
        <color theme="1"/>
        <rFont val="Times New Roman"/>
        <family val="1"/>
      </rPr>
      <t>bacc</t>
    </r>
    <r>
      <rPr>
        <sz val="11"/>
        <color theme="1"/>
        <rFont val="Times New Roman"/>
        <family val="1"/>
      </rPr>
      <t>S</t>
    </r>
  </si>
  <si>
    <t xml:space="preserve">Πάντων ἀρχιερεὺς Πέτρος θεοῦ ἀρχιερήων, </t>
  </si>
  <si>
    <t xml:space="preserve">Πάν#των ἀρ#χι#ε#ρεὺς Πέτ#ρος θε#οῦ ἀρ#χι#ε#ρή#ων, </t>
  </si>
  <si>
    <t>Παῦλος, ἐπεὶ θεῖον σέλας οὐρανοῦ ἔδρακεν ἄντην,</t>
  </si>
  <si>
    <t>Παῦ#λος, ἐ#πεὶ θεῖ#ον σέ#λας οὐ#ρα#νοῦ ἔ#δρα#κεν ἄν#την,</t>
  </si>
  <si>
    <t>Ἀρχιερεὺς Ἐφέσοιο θεηγόρος ἐκ θεοῦ εἶπεν</t>
  </si>
  <si>
    <t>Ἀρ#χι#ε#ρεὺς Ἐ#φέ#σοι#ο θε#η#γό#ρος ἐκ θε#οῦ εἶ#πεν</t>
  </si>
  <si>
    <t>Καὶ λαλέοντος ἄκουσε λόγου καὶ πέφραδεν αὐτὸς</t>
  </si>
  <si>
    <t>Καὶ λα#λέ#ον#τος ἄ#κου#σε λό#γου καὶ πέφ#ρα#δεν αὐ#τὸς</t>
  </si>
  <si>
    <t>Oὐρανίης σοφίης θεοτερπὲς δῶμα κιχήσας</t>
  </si>
  <si>
    <t>Oὐ#ρα#νί#ης σο#φί#ης θε#ο#τερ#πὲς δῶ#μα κι#χή#σας</t>
  </si>
  <si>
    <t>Γράψε θεοῦ σαρκώσιος ἔξοχα θαύματα πάντα</t>
  </si>
  <si>
    <t>Γρά#ψε θε#οῦ σαρ#κώ#σι#ος ἔ#ξο#χα θαύ#μα#τα πάν#τα</t>
  </si>
  <si>
    <t>Ματθαῖος σελίδεσσιν, ἐπεὶ λίπε δῶμα τελώνου.</t>
  </si>
  <si>
    <t>Ματ#θαῖ#ος σε#λί#δεσ#σιν, ἐ#πεὶ λί#πε δῶ#μα τε#λώ#νου.</t>
  </si>
  <si>
    <t>Ἀθανάτου βιότοιο τελεσφόρα ἔργματα Χριστοῦ</t>
  </si>
  <si>
    <t>Ἀ#θα#νά#του βι#ό#τοι#ο τε#λεσ#φό#ρα ἔρ#γμα#τα Χρισ#τοῦ</t>
  </si>
  <si>
    <t>πυκτίου ἐν λαγόνεσσι σαφῶς ἐνέπασσέ γε Λουκᾶς.</t>
  </si>
  <si>
    <t>πυκ#τί#ου ἐν λα#γό#νεσ#σι σα#φῶς ἐ#νέ#πασ#σέ γε Λου#κᾶς.</t>
  </si>
  <si>
    <t>Οὐ κατ' ἐπωνυμίην Αἰγύπτιον ἔλλαχε λαὸν</t>
  </si>
  <si>
    <t>Οὐ κα#τ' ἐ#πω#νυ#μί#ην Αἰ#γύπ#τι#ον ἔλ#λα#χε λα#ὸν</t>
  </si>
  <si>
    <t>Παρθενίην Βασίλειος Ἰωάννου σοφίην τε</t>
  </si>
  <si>
    <t>Παρ#θε#νί#ην Βα#σί#λει#ος Ἰ#ω#άν#νου σο#φί#ην τε</t>
  </si>
  <si>
    <t>Οἰκτίρμων Πολύκαρπος, ὃ καὶ θρόνον ἀρχιερῆος</t>
  </si>
  <si>
    <t>Οἰκ#τίρ#μων Πο#λύ#καρ#πος, ὃ καὶ θρό#νον ἀρ#χι#ε#ρῆ#ος</t>
  </si>
  <si>
    <t>Οὐρανίων θιάσων ἱεραρχικὰ τάγματα μέλψας,</t>
  </si>
  <si>
    <t>Οὐ#ρα#νί#ων θι#ά#σων ἱ#ε#ραρ#χι#κὰ τάγ#μα#τα μέλ#ψας,</t>
  </si>
  <si>
    <t>μορφοφανῶν τε τύπων κρύφιον νόον εἰς φάος ἕλκων,</t>
  </si>
  <si>
    <t>μορ#φο#φα#νῶν τε τύ#πων κρύ#φι#ον νό#ον εἰς φά#ος ἕλ#κων,</t>
  </si>
  <si>
    <t>B?</t>
  </si>
  <si>
    <t>ζωοσόφων λογίων θεοτερπέα πυρσὸν ἀνάπτεις.</t>
  </si>
  <si>
    <t>ζω#ο#σό#φων λο#γί#ων θε#ο#τερ#πέ#α πυρ#σὸν ἀ#νάπ#τεις.</t>
  </si>
  <si>
    <t>Νικόλεων Πολύκαρπος ἔχει σχεδόν, οὕνεκεν ἄμφω</t>
  </si>
  <si>
    <t>Νι#κό#λε#ων Πο#λύ#καρ#πος ἔ#χει σχε#δόν, οὕ#νε#κεν ἄ#μφω</t>
  </si>
  <si>
    <t>Κύρῳ, ἀκεστορίης πανυπέρτατα μέτρα λαχόντι,</t>
  </si>
  <si>
    <t>Κύ#ρῳ, ἀ#κεσ#το#ρί#ης πα#νυ#πέρ#τα#τα μέτ#ρα λα#χόν#τι,</t>
  </si>
  <si>
    <t>Σωφρόνιος, βλεφάρων ψυχαλγέα νοῦσον ἀλύξας,</t>
  </si>
  <si>
    <t>Σωφ#ρό#νι#ος, βλε#φά#ρων ψυ#χαλ#γέ#α νοῦ#σον ἀ#λύ#ξας,</t>
  </si>
  <si>
    <t>Ἰουστινιανὸν καὶ ἠγαθέην Θεοδώρην</t>
  </si>
  <si>
    <t>Ἰ#ουσ#τι#νι#α#νὸν καὶ ἠ#γα#θέ#ην Θε#ο#δώ#ρην</t>
  </si>
  <si>
    <r>
      <t>IC</t>
    </r>
    <r>
      <rPr>
        <vertAlign val="subscript"/>
        <sz val="11"/>
        <rFont val="Palatino Linotype"/>
        <family val="1"/>
      </rPr>
      <t>r</t>
    </r>
    <r>
      <rPr>
        <sz val="11"/>
        <rFont val="Palatino Linotype"/>
        <family val="1"/>
      </rPr>
      <t xml:space="preserve">SDDS </t>
    </r>
  </si>
  <si>
    <t>Ἦν ὅτε Χριστὸς ἴαυεν ἐφ' ὁλκάδος ἔμφυτον ὕπνον,</t>
  </si>
  <si>
    <t>Ἦν ὅ#τε Χρισ#τὸς ἴ#αυ#εν ἐ#φ' ὁλ#κά#δος ἔμ#φυ#τον ὕπ#νον,</t>
  </si>
  <si>
    <t>τετρήχει δὲ θάλασσα κυδοιμοτόκοισιν ἀήταις,</t>
  </si>
  <si>
    <t>τετ#ρή#χει δὲ θά#λασ#σα κυ#δοι#μο#τό#κοι#σιν ἀ#ή#ταις,</t>
  </si>
  <si>
    <t>δείματί τε πλωτῆρες ἀνίαχον· „Ἔγρεο,  σῶτερ·</t>
  </si>
  <si>
    <t>δεί#μα#τί τε πλω#τῆ#ρες ἀ#νί#α#χον· „Ἔγ#ρε#ο,  σῶ#τερ·</t>
  </si>
  <si>
    <t>ὀλλυμένοις ἐπάμυνον”. Ἄναξ δὲ κέλευεν ἀναστὰς</t>
  </si>
  <si>
    <t>ὀλ#λυ#μέ#νοις ἐ#πά#μυ#νον”. Ἄ#ναξ δὲ κέ#λευ#εν ἀ#νασ#τὰς</t>
  </si>
  <si>
    <t>ἀτρεμέειν ἀνέμους καὶ κύματα, καὶ πέλεν οὕτως·</t>
  </si>
  <si>
    <t>ἀτ#ρε#μέ#ειν ἀ#νέ#μους καὶ κύ#μα#τα, καὶ πέ#λεν οὕ#τως·</t>
  </si>
  <si>
    <t>θαύματι δὲ φράζοντο θεοῦ φύσιν οἱ παρεόντες.</t>
  </si>
  <si>
    <t>θαύ#μα#τι δὲ φρά#ζον#το θε#οῦ φύ#σιν οἱ πα#ρε#όν#τες.</t>
  </si>
  <si>
    <t>Ζωογόνων ἀρετῶν τετρακτύος εἰκόνα λεύσσων</t>
  </si>
  <si>
    <t>Ζω#ο#γό#νων ἀ#ρε#τῶν τε#τρακ#τύ#ος εἰ#κό#να λεύσ#σων</t>
  </si>
  <si>
    <t>σεῦε νόον πρὸς μόχθον ἑκούσιον· εὐσεβίης γὰρ</t>
  </si>
  <si>
    <t>σεῦ#ε νό#ον πρὸς μόχ#θον ἑ#κού#σι#ον· εὐ#σε#βί#ης γὰρ</t>
  </si>
  <si>
    <t>ἱδρῶτες δεδάασιν ἀγήραον ἐς βίον ἕλκειν.</t>
  </si>
  <si>
    <t>ἱδ#ρῶ#τες δε#δά#α#σιν ἀ#γή#ρα#ον ἐς βί#ον ἕλ#κειν.</t>
  </si>
  <si>
    <t>Νεύμασι θεσπεσίοιo μετάρσιοι ἤλυθον ἄρδην</t>
  </si>
  <si>
    <t>Νεύ#μα#σι θεσ#πε#σί#οι#o με#τάρ#σι#οι ἤ#λυ#θον ἄρ#δην</t>
  </si>
  <si>
    <t>ἐς δόμον ἀχράντοιο, ἀμωμήτοιο γυναικὸς</t>
  </si>
  <si>
    <t>ἐς δό#μον ἀχ#ράν#τοι#ο, ἀ#μω#μή#τοι#ο γυ#ναι#κὸς</t>
  </si>
  <si>
    <t>κεκλόμενοι μαθηταὶ  ἀλλήλοισιν αἰγλήεντες.</t>
  </si>
  <si>
    <t>κεκ#λό#με#νοι μα#θη#ταὶ  ἀλ#λή#λοι#σιν αἰγ#λή#εν#τες.</t>
  </si>
  <si>
    <r>
      <t>DC</t>
    </r>
    <r>
      <rPr>
        <vertAlign val="subscript"/>
        <sz val="11"/>
        <color rgb="FFFF0000"/>
        <rFont val="Palatino Linotype"/>
        <family val="1"/>
      </rPr>
      <t>r</t>
    </r>
    <r>
      <rPr>
        <sz val="11"/>
        <color rgb="FFFF0000"/>
        <rFont val="Palatino Linotype"/>
        <family val="1"/>
      </rPr>
      <t>SA</t>
    </r>
    <r>
      <rPr>
        <vertAlign val="subscript"/>
        <sz val="11"/>
        <color rgb="FFFF0000"/>
        <rFont val="Palatino Linotype"/>
        <family val="1"/>
      </rPr>
      <t>bacc</t>
    </r>
    <r>
      <rPr>
        <sz val="11"/>
        <color rgb="FFFF0000"/>
        <rFont val="Palatino Linotype"/>
        <family val="1"/>
      </rPr>
      <t xml:space="preserve">ST </t>
    </r>
  </si>
  <si>
    <t xml:space="preserve">3 4 </t>
  </si>
  <si>
    <t>Οἱ μὲν ἀπ' ἀντολίης, οἱ δ' ἑσπερίοι' &lt;ἀπ&gt;ὸ γαίης,</t>
  </si>
  <si>
    <t>Οἱ μὲν ἀ#π' ἀν#το#λί#ης, οἱ δ' ἑσ#πε#ρί#οι' &lt;ἀ#π&gt;ὸ γαί#ης,</t>
  </si>
  <si>
    <t>Οἱ μὲν ἀπ' ἀντολίης, οἱ δ' ἑσπερίοισιν γαίης,</t>
  </si>
  <si>
    <t>DDSDSS</t>
  </si>
  <si>
    <t>ἄλλοι μεσημβρίης, ἕτεροι βαῖνον δ' ἀπ' ἀρκτῴων,</t>
  </si>
  <si>
    <t>ἄλ#λοι με#ση#μβρί#ης, ἕ#τε#ροι βαῖ#νον δ' ἀ#π' ἀρ#κτῴ#ων,</t>
  </si>
  <si>
    <r>
      <t>A</t>
    </r>
    <r>
      <rPr>
        <vertAlign val="subscript"/>
        <sz val="11"/>
        <color theme="1"/>
        <rFont val="Palatino Linotype"/>
        <family val="1"/>
      </rPr>
      <t>bacc</t>
    </r>
    <r>
      <rPr>
        <sz val="11"/>
        <color theme="1"/>
        <rFont val="Palatino Linotype"/>
        <family val="1"/>
      </rPr>
      <t>SDSC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S </t>
    </r>
  </si>
  <si>
    <t>διζήμενοι κηδεῦσαι  σῶμα τὸ σωσικόσμοιο.</t>
  </si>
  <si>
    <t>δι#ζή#με#νοι κη#δεῦ#σαι  σῶ#μα τὸ σω#σι#κόσ#μοι#ο.</t>
  </si>
  <si>
    <r>
      <t>A</t>
    </r>
    <r>
      <rPr>
        <vertAlign val="subscript"/>
        <sz val="11"/>
        <color theme="1"/>
        <rFont val="Palatino Linotype"/>
        <family val="1"/>
      </rPr>
      <t>bacc</t>
    </r>
    <r>
      <rPr>
        <sz val="11"/>
        <color theme="1"/>
        <rFont val="Palatino Linotype"/>
        <family val="1"/>
      </rPr>
      <t>SSDC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T </t>
    </r>
  </si>
  <si>
    <t>3 4</t>
  </si>
  <si>
    <t>Σοί, μάκαρ, ἐκ σέο δῶκα τάπερ πόρες ἄμμιν ἄρηϊ.</t>
  </si>
  <si>
    <t>Σοί, μά#καρ, ἐκ σέ#ο δῶ#κα τά#περ πό#ρες ἄμ#μιν ἄ#ρη#ϊ.</t>
  </si>
  <si>
    <t xml:space="preserve">3M </t>
  </si>
  <si>
    <t>Tοῦτο γέρας λάχεν ἐσθλὸς Ἀμάντιος, ὡς βασιλῆϊ</t>
  </si>
  <si>
    <t>Tοῦ#το γέ#ρας λά#χεν ἐσ#θλὸς Ἀ#μάν#τι#ος, ὡς βα#σι#λῆ#ϊ</t>
  </si>
  <si>
    <t>πιστὸς ἐών, Χριστὸν δὲ θεουδείῃσιν ἰαίνων.</t>
  </si>
  <si>
    <t>πισ#τὸς ἐ#ών, Χρισ#τὸν δὲ θε#ου#δεί#ῃ#σιν ἰ#αί#νων.</t>
  </si>
  <si>
    <t>πιστὸς ἐών, Χριστὸν δὲ θεουδίησιν ἰαίνων.</t>
  </si>
  <si>
    <t>DSDTDS</t>
  </si>
  <si>
    <t>2 3  6</t>
  </si>
  <si>
    <t>Nηὸς ἐγὼ κύδιστος Ἰουστίνοιο ἄνακτος,</t>
  </si>
  <si>
    <t>Nη#ὸς ἐ#γὼ κύ#δισ#τος Ἰ#ουσ#τί#νοι#ο ἄ#νακ#τος,</t>
  </si>
  <si>
    <t>καί μ' ὕπατος Θεόδωρος, ὁ καρτερός, ὁ τρὶς ὕπαρχος,</t>
  </si>
  <si>
    <t>καί μ' ὕ#πα#τος Θε#ό#δω#ρος, ὁ καρ#τε#ρός, ὁ τρὶς ὕ#παρ#χος,</t>
  </si>
  <si>
    <t>3, 1</t>
  </si>
  <si>
    <t>ἄνθετο καὶ βασιλῆϊ καὶ υἱέϊ παμβασιλῆος,</t>
  </si>
  <si>
    <t>ἄν#θε#το καὶ βα#σι#λῆ#ϊ καὶ υἱ#έ#ϊ παμ#βα#σι#λῆ#ος,</t>
  </si>
  <si>
    <t>Ἰουστινιανῷ, στρατιῆς ἡγήτορι πάσης.</t>
  </si>
  <si>
    <t>Ἰ#ουσ#τι#νι#α#νῷ, στρα#τι#ῆς ἡ#γή#το#ρι πά#σης.</t>
  </si>
  <si>
    <r>
      <t>IC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DSDS </t>
    </r>
  </si>
  <si>
    <t>Ἔργον ὁρᾷς περίπυστον Ἰουστίνου βασιλῆος,</t>
  </si>
  <si>
    <t>Ἔρ#γον ὁ#ρᾷς πε#ρί#πυσ#τον Ἰ#ουσ#τί#νου βα#σι#λῆ#ος,</t>
  </si>
  <si>
    <t>Ἰουστινιανοῦ τε μεγασθενέος στρατιάρχου,</t>
  </si>
  <si>
    <t>Ἰ#ουσ#τι#νι#α#νοῦ τε με#γασ#θε#νέ#ος στρα#τι#άρ#χου,</t>
  </si>
  <si>
    <r>
      <t>IC</t>
    </r>
    <r>
      <rPr>
        <vertAlign val="subscript"/>
        <sz val="11"/>
        <color theme="1"/>
        <rFont val="Palatino Linotype"/>
        <family val="1"/>
      </rPr>
      <t>r</t>
    </r>
    <r>
      <rPr>
        <sz val="11"/>
        <color theme="1"/>
        <rFont val="Palatino Linotype"/>
        <family val="1"/>
      </rPr>
      <t xml:space="preserve">DDDS </t>
    </r>
  </si>
  <si>
    <t>λαμπόμενον στεροπῇσιν ἀμετρήτοιο μετάλλου·</t>
  </si>
  <si>
    <t>λαμ#πό#με#νον στε#ρο#πῇ#σιν ἀ#μετ#ρή#τοι#ο με#τάλ#λου·</t>
  </si>
  <si>
    <t>τοῦτο κάμεν Θεόδωρος ἀοίδιμος, ὃς πόλιν † ἄρας</t>
  </si>
  <si>
    <t>τοῦ#το κά#μεν Θε#ό#δω#ρος ἀ#οί#δι#μος, ὃς πό#λιν †ἄ#ρας</t>
  </si>
  <si>
    <t>τὸ τρίτον ἀμφιβέβηκεν ἔχων ὑπατηΐδα τιμήν.</t>
  </si>
  <si>
    <t>τὸ τρί#τον ἀμ#φι#βέ#βη#κεν ἔ#χων ὑ#πα#τη#ΐ#δα τι#μήν.</t>
  </si>
  <si>
    <t xml:space="preserve">Μεσσηγὺς γαίης τε καὶ οὐρανοῦ ἵσταται ἀνήρ, </t>
  </si>
  <si>
    <t xml:space="preserve">Μεσ#ση#γὺς γαί#ης τε καὶ οὐ#ρα#νοῦ ἵσ#τα#ται ἀ#νήρ, </t>
  </si>
  <si>
    <t>&lt;Τοὔνομα μὲν Δανιήλ, μεγάλῳ Συμεῶνι δ' ἐρίζει,&gt;</t>
  </si>
  <si>
    <t>&lt;Τοὔ#νο#μα μὲν Δα#νι#ήλ, με#γά#λῳ Συ#με#ῶ#νι δ' ἐ#ρί#ζει,&gt;</t>
  </si>
  <si>
    <t>λιμῷ δ' ἀμβροσίᾳ τρέφεται καὶ ἀναίμονι δίψῃ,</t>
  </si>
  <si>
    <t>λι#μῷ δ' ἀμ#βρο#σί#ᾳ τρέ#φε#ται καὶ ἀ#ναί#μο#νι δί#ψῃ,</t>
  </si>
  <si>
    <t>Νείλου μὲν ποταμοῖο ῥόος χθόνα οἶδε ποτίζειν,</t>
  </si>
  <si>
    <t>Νεί#λου μὲν πο#τα#μοῖ#ο ῥό#ος χθό#να οἶ#δε πο#τί#ζειν,</t>
  </si>
  <si>
    <t>Νείλου δ' αὖ μοναχοῖο λόγος φρένας οἶδεν ἰαίνειν.</t>
  </si>
  <si>
    <t>Νεί#λου δ' αὖ μο#να#χοῖ#ο λό#γος φρέ#νας οἶ#δεν ἰ#αί#νειν.</t>
  </si>
  <si>
    <t>Ἦν πάρος ἐν πέρσῃσιν ἐγὼ μάγος Ἰσβοζήτης,</t>
  </si>
  <si>
    <t>Ἦν πά#ρος ἐν πέρ#σῃ#σιν ἐ#γὼ μά#γος Ἰσ#βο#ζή#της,</t>
  </si>
  <si>
    <t>DSDDSS</t>
  </si>
  <si>
    <t>Εὖτε δὲ πυρσὸς ἔδαπτεν ἐμὴν πόλιν, ἦλθον ἀρῆξαι·</t>
  </si>
  <si>
    <t>Εὖ#τε δὲ πυρ#σὸς ἔ#δαπ#τεν ἐ#μὴν πό#λιν, ἦλ#θον ἀ#ρῆ#ξαι·</t>
  </si>
  <si>
    <t>κείνῳ δ' ἐσβέσθη δύναμις πυρός, ἀλλὰ καὶ ἔμπης</t>
  </si>
  <si>
    <t>κεί#νῳ δ' ἐσ#βέσ#θη δύ#να#μις πυ#ρός, ἀλ#λὰ καὶ ἔμ#πης</t>
  </si>
  <si>
    <t xml:space="preserve">Ὦ, πάντων ἐπέκεινα, τί γὰρ πλέον ἄλλο σε μέλψω; </t>
  </si>
  <si>
    <t xml:space="preserve">Ὦ, πάν#των ἐ#πέ#κει#να, τί γὰρ πλέ#ον ἄλ#λο σε μέλ#ψω; </t>
  </si>
  <si>
    <t>Πῶς σὲ τὸν ἐν πάντεσσιν ὑπείροχον ἐξονομήνω;</t>
  </si>
  <si>
    <t>Πῶς σὲ τὸν ἐν πάν#τεσ#σιν ὑ#πεί#ρο#χον ἐ#ξο#νο#μή#νω;</t>
  </si>
  <si>
    <t>Πῶς δὲ λόγῳ μέλψω σὲ τὸν οὐδὲ λόγῳ περιληπτόν;</t>
  </si>
  <si>
    <t>Πῶς δὲ λό#γῳ μέλ#ψω σὲ τὸν οὐ#δὲ λό#γῳ πε#ρι#ληπ#τόν;</t>
  </si>
  <si>
    <t>Μῶμε μιαιφόνε, σός σε κατέκτανε πικρὸς ὀϊστός·</t>
  </si>
  <si>
    <t>Μῶ#με μι#αι#φό#νε, σός σε κα#τέκ#τα#νε πικ#ρὸς ὀ#ϊσ#τός·</t>
  </si>
  <si>
    <t>ῥύσατο γὰρ μανίης με τεῆς θεὸς, ὄλβιον οἶκον.</t>
  </si>
  <si>
    <t>ῥύ#σα#το γὰρ μα#νί#ης με τε#ῆς θε#ὸς, ὄλ#βι#ον οἶ#κον.</t>
  </si>
  <si>
    <t>Mάρτυρος Ἀκακίοιο Ἀλεξάνδρου θ' ἱερῆος</t>
  </si>
  <si>
    <t>Mάρ#τυ#ρος Ἀ#κα#κί#οι#ο Ἀ#λε#ξάν#δρου θ' ἱ#ε#ρῆ#ος</t>
  </si>
  <si>
    <t>ἐνθάδε σώματα κεῖται, ἅπερ χρόνος ὄλβιος ηὗρε.</t>
  </si>
  <si>
    <t>ἐν#θά#δε σώ#μα#τα κεῖ#ται, ἅ#περ χρό#νος ὄλ#βι#ος ηὗ#ρε.</t>
  </si>
  <si>
    <t>ἐνθάδε σώματα κεῖται, τάπερ χρόνος ὄλβιος ηὗρε.</t>
  </si>
  <si>
    <t>Οὐ σοφίης ἀπάνευθεν Ἀδὰμ τὸ πρὶν ἐκαλεῖτο,</t>
  </si>
  <si>
    <t>Οὐ σο#φί#ης ἀ#πά#νευ#θεν Ἀ#δὰμ τὸ πρὶν ἐ#κα#λεῖ#το,</t>
  </si>
  <si>
    <t>τέσσαρα γράμματ' ἔχων εἰς τέσσαρα κλίματα κόσμου·</t>
  </si>
  <si>
    <t>τέσ#σα#ρα γράμ#μα#τ' ἔ#χων εἰς τέσ#σα#ρα κλί#μα#τα κόσ#μου·</t>
  </si>
  <si>
    <t>1  2 4 5 6</t>
  </si>
  <si>
    <t>ἄλφα γὰρ ἀντολίης ἔλαχεν, δύσεως δὲ τὸ δέλτα,</t>
  </si>
  <si>
    <t>ἄλ#φα γὰρ ἀν#το#λί#ης ἔ#λα#χεν, δύσ#ε#ως δὲ τὸ δέλ#τα,</t>
  </si>
  <si>
    <t>ἄλφα πάλιν δ' ἄρκτοιο, μεσημβρίης δὲ τὸ λοιπόν.</t>
  </si>
  <si>
    <t>ἄλ#φα πά#λιν δ' ἄρ#κτοι#ο, με#σημ#βρί#ης δὲ τὸ λοι#πόν.</t>
  </si>
  <si>
    <t>Παρθένος υἱέα τίκτε· μεθ' υἱέα παρθένος ἦεν.</t>
  </si>
  <si>
    <t>Παρ#θέ#νος υἱ#έ#α τίκ#τε· με#θ' υἱ#έ#α παρ#θέ#νος ἦ#εν.</t>
  </si>
  <si>
    <t>Παρθένος υἱέα τίκτει· μεθ' υἱέα παρθένος ἦεν.</t>
  </si>
  <si>
    <t>Χριστὲ μάκαρ, μερόπων φάος ἄφθιτον, υἱὲ θεοῖο,</t>
  </si>
  <si>
    <t>Χρι#στὲ μά#καρ, με#ρό#πων φά#ος ἄφ#θι#τον, υἱ#ὲ θε#οῖ#ο,</t>
  </si>
  <si>
    <t>Δέχνυσο, παρθενικῆς τέκος ἄφθιτον, υἱὲ θεοῖο,</t>
  </si>
  <si>
    <t>Δέχ#νυ#σο, παρ#θε#νι#κῆς τέ#κος ἄφ#θι#τον, υἱ#ὲ θε#οῖ#ο,</t>
  </si>
  <si>
    <t>Βίβλος Πατρικίοιο θεουδέος ἀρητῆρος,</t>
  </si>
  <si>
    <t>Βίβ#λος Πατ#ρι#κί#οι#ο θε#ου#δέ#ος ἀ#ρη#τῆ#ρος,</t>
  </si>
  <si>
    <t>SDDDST</t>
  </si>
  <si>
    <t>ὃς μέγα ἔργον ἔρεξεν ὁμηρείης ἀπὸ βίβλου</t>
  </si>
  <si>
    <t>ὃς μέ#γα ἔρ#γον ἔ#ρε#ξεν ὁ#μη#ρεί#ης ἀ#πὸ βίβ#λου</t>
  </si>
  <si>
    <t>1 2  6</t>
  </si>
  <si>
    <t>κυδαλίμων ἐπέων τεύξας ἐρίτιμον ἀοιδήν,</t>
  </si>
  <si>
    <t>κυ#δα#λί#μων ἐ#πέ#ων τεύ#ξας ἐ#ρί#τι#μον ἀ#οι#δήν,</t>
  </si>
  <si>
    <t>πρήξιας ἀγγελέουσαν ἀνικήτοιο θεοῖο·</t>
  </si>
  <si>
    <t>πρή#ξι#ας ἀγ#γε#λέ#ου#σαν ἀ#νι#κή#τοι#ο θε#οῖ#ο·</t>
  </si>
  <si>
    <t>ὡς μόλεν ἀνθρώπων ἐς ὁμήγυριν, ὡς λάβε μορφὴν</t>
  </si>
  <si>
    <t>ὡς μό#λεν ἀν#θρώ#πων ἐς ὁ#μή#γυ#ριν, ὡς λά#βε μορ#φὴν</t>
  </si>
  <si>
    <t>ἀνδρομέην, καὶ γαστρὸς ἀμεμφέος ἔνδοθι κούρης</t>
  </si>
  <si>
    <t>ἀν#δρο#μέ#ην, καὶ γασ#τρὸς ἀ#μεμ#φέ#ος ἔν#δο#θι κού#ρης</t>
  </si>
  <si>
    <t>κρύπτετο τυτθὸς ἐών, ὃν ἀπείριτος οὐ χάδε κύκλος·</t>
  </si>
  <si>
    <t>κρύπ#τε#το τυτ#θὸς ἐ#ών, ὃν ἀ#πεί#ρι#τος οὐ χά#δε κύκ#λος·</t>
  </si>
  <si>
    <t>ἠδ' ὡς παρθενικῆς θεοκύμονος ἔσπασε μαζὸν</t>
  </si>
  <si>
    <t>ἠ#δ' ὡς παρ#θε#νι#κῆς θε#ο#κύ#μο#νος ἔσ#πα#σε μα#ζὸν</t>
  </si>
  <si>
    <t>παρθενίοιο γάλακτος ἀναβλύζοντα ῥέεθρον·</t>
  </si>
  <si>
    <t>παρ#θε#νί#οι#ο γά#λακ#τος ἀ#ναβ#λύ#ζον#τα ῥέ#εθ#ρον·</t>
  </si>
  <si>
    <t>ὡς κτάνεν Ἡρῴδης ἀταλάφρονας εἰσέτι παῖδας,</t>
  </si>
  <si>
    <t>ὡς κτά#νεν Ἡ#ρῴ#δης ἀ#τα#λάφ#ρο#νας εἰ#σέ#τι παῖ#δας,</t>
  </si>
  <si>
    <t>νήπιος, ἀθανάτοιο θεοῦ διζήμενος οἶτον·</t>
  </si>
  <si>
    <t>νή#πι#ος, ἀ#θα#νά#τοι#ο θε#οῦ δι#ζή#μεν#ος οἶ#τον·</t>
  </si>
  <si>
    <t>ὥς μιν Ἰωάννης λοῦσεν ποταμοῖο ῥεέθροις·</t>
  </si>
  <si>
    <t>ὥς μιν Ἰ#ω#άν#νης λοῦ#σεν πο#τα#μοῖ#ο ῥε#έθ#ροις·</t>
  </si>
  <si>
    <t>1 5  6</t>
  </si>
  <si>
    <t>ὥς τε δυώδεκα φῶτας ἀμύμονας ἔλλαβ᾽ ἑταίρους·</t>
  </si>
  <si>
    <t>ὥς τε δυ#ώ#δε#κα φῶ#τας ἀ#μύ#μο#νας ἔλ#λα#β' ἑ#ταί#ρους·</t>
  </si>
  <si>
    <t>ὅσσων τ´ ἄρτια πάντα θεὸς τεκτήνατο γυῖα,</t>
  </si>
  <si>
    <t>ὅσ#σων τ' ἄρ#τι#α πάν#τα θε#ὸς τεκ#τή#να#το γυῖ#α,</t>
  </si>
  <si>
    <t>νούσους τ' ἐξελάσας στυγερὰς βλεφάρων τ' ἀλαωτύν·</t>
  </si>
  <si>
    <t>νού#σους τ' ἐ#ξε#λά#σας στυ#γε#ρὰς βλε#φά#ρων τ' ἀ#λα#ω#τύν·</t>
  </si>
  <si>
    <t>ἠδ' ὅ&lt;π&gt;πως ῥείοντας ἀπέσβεσεν αἵματος ὁλκοὺς</t>
  </si>
  <si>
    <t>ἠ#δ' ὅ&lt;π&gt;#πως ῥεί#ον#τας ἀ#πέσ#βε#σεν αἵ#μα#τος ὁλ#κοὺς</t>
  </si>
  <si>
    <t>ἁψαμένης ἑανοῖο πολυκλαύτοιο γυναικός·</t>
  </si>
  <si>
    <t>ἁ#ψα#μέν#ης ἑ#α#νοῖ#ο πο#λυκ#λαύ#τοι#ο γυ#ναι#κός·</t>
  </si>
  <si>
    <t>ἠδ' ὅσσους μοίρῃσιν ὑπ' ἀργαλέῃσι δαμέντας</t>
  </si>
  <si>
    <t>ἠ#δ' ὅσ#σους μοί#ρῃ#σιν ὑ#π' ἀρ#γα#λέ#ῃ#σι δα#μέν#τας</t>
  </si>
  <si>
    <t>SSDDDT</t>
  </si>
  <si>
    <t>ἤγαγεν ἐς φάος αὖθις ἀπὸ χθονίοιο βερέθρου·</t>
  </si>
  <si>
    <t>ἤ#γα#γεν ἐς φά#ος αὖ#θις ἀ#πὸ χθο#νί#οι#ο βε#ρέ#θρου·</t>
  </si>
  <si>
    <t>1  3  4 6</t>
  </si>
  <si>
    <t>ὥς τε πάθους ἁγίου μνημήια κάλλιπεν ἄμμιν·</t>
  </si>
  <si>
    <t>ὥς τε πά#θους ἁ#γί#ου μνη#μή#ι#α κάλ#λι#πεν ἄμ#μιν·</t>
  </si>
  <si>
    <t>ὥς τε βροτῶν ὑπὸ χερσὶ τάθη κρυεροῖς ἐνὶ δεσμοῖς,</t>
  </si>
  <si>
    <t>ὥς τε βρο#τῶν ὑ#πὸ χερ#σὶ τά#θη κρυ#ε#ροῖς ἐ#νὶ δεσ#μοῖς,</t>
  </si>
  <si>
    <t>αὐτὸς ἑκών· οὐ γάρ τις ἐπιχθονίων πολεμίζοι</t>
  </si>
  <si>
    <t>αὐ#τὸς ἑ#κών· οὐ γάρ τις ἐ#πιχ#θο#νί#ων πο#λε#μί#ζοι</t>
  </si>
  <si>
    <t>2  3 6</t>
  </si>
  <si>
    <t>ὑψιμέδοντι θεῷ, ὅτε μὴ αὐτός γε κελεύοι·</t>
  </si>
  <si>
    <t>ὑ#ψι#μέ#δον#τι θε#ῷ, ὅ#τε μὴ αὐ#τός γε κε#λεύ#οι·</t>
  </si>
  <si>
    <t>3 4  5 6</t>
  </si>
  <si>
    <t>ὡς θάνεν· ὡς Ἀίδαο σιδήρεα ῥῆξε θύρετρα,</t>
  </si>
  <si>
    <t>ὡς θά#νεν· ὡς Ἀ#ί#δα#ο σι#δή#ρε#α ῥῆ#ξε θύ#ρε#τρα,</t>
  </si>
  <si>
    <t>κεῖθεν δὲ ψυχὰς θεοπειθέας οὐρανὸν εἴσω</t>
  </si>
  <si>
    <t>κεῖ#θεν δὲ ψυ#χὰς θε#ο#πει#θέ#ας οὐ#ρα#νὸν εἴ#σω</t>
  </si>
  <si>
    <t>ἤγαγεν ἀχράντοισιν ὑπ' ἐννεσίῃσι τοκῆος,</t>
  </si>
  <si>
    <t>ἤ#γα#γεν ἀ#χράν#τοι#σιν ὑ#π' ἐν#νε#σί#ῃ#σι το#κῆ#ος,</t>
  </si>
  <si>
    <t>ἀνστὰς ἐν τριτάτῃ φαεσιμβρότῳ ἠριγενείῃ</t>
  </si>
  <si>
    <t>ἀν#στὰς ἐν τρι#τά#τῃ φα#ε#σιμ#βρό#τῳ ἠ#ρι#γε#νεί#ῃ</t>
  </si>
  <si>
    <t>ἀρχέγονον βλάστημα θεοῦ γενετῆρος ἀνάρχου.</t>
  </si>
  <si>
    <t>ἀρ#χέ#γο#νον βλάσ#τη#μα θε#οῦ γε#νε#τῆ#ρος ἀ#νάρ#χου.</t>
  </si>
  <si>
    <t>Πέτρα τρισμακάριστε θεόσσυτον αἷμα λαχοῦσα,</t>
  </si>
  <si>
    <t>Πέτ#ρα τρισ#μα#κά#ρισ#τε θε#όσ#συ#τον αἷ#μα λα#χοῦ#σα,</t>
  </si>
  <si>
    <t>οὐρανίη γενεή σε πυρίπνοος ἀμφιπολεύει,</t>
  </si>
  <si>
    <t>οὐ#ρα#νί#η γε#νε#ή σε πυ#ρίπ#νο#ος ἀμ#φι#πο#λεύ#ει,</t>
  </si>
  <si>
    <t>καὶ χθονὸς ἐνναετῆρες ἀνάκτορες ὑμνοπολοῦσι.</t>
  </si>
  <si>
    <t>καὶ χθο#νὸς ἐν#να#ε#τῆ#ρες ἀ#νάκ#το#ρες ὑμ#νο#πο#λοῦ#σι.</t>
  </si>
  <si>
    <t>TOTAL</t>
  </si>
  <si>
    <t>Pentameter</t>
  </si>
  <si>
    <t>metrical pattern</t>
  </si>
  <si>
    <t>final word in the first hemistich</t>
  </si>
  <si>
    <t>final word in the second hemistich</t>
  </si>
  <si>
    <r>
      <t>*</t>
    </r>
    <r>
      <rPr>
        <i/>
        <sz val="11"/>
        <color theme="1"/>
        <rFont val="Times New Roman"/>
        <family val="1"/>
      </rPr>
      <t>Antologia Palatină, Cartea I. Poemele creștine</t>
    </r>
    <r>
      <rPr>
        <sz val="11"/>
        <color theme="1"/>
        <rFont val="Times New Roman"/>
        <family val="1"/>
      </rPr>
      <t xml:space="preserve"> [The Palatine Anthology. Book I. The Christian Epigrams], ed.: Simona Nicolae, co-authors: Ștefan Zară, Ștefan Lungu, Cristian Șimon, Sebastian Clinciu, Ecaterina Clinciu, Bucharest, Bucharest University Press, 2026</t>
    </r>
  </si>
  <si>
    <t>πάντα διορθοῦσθαι καὶ κλέος ἐν πολέμοις,</t>
  </si>
  <si>
    <t>πάν#τα δι#ορ#θοῦσ#θαι καὶ κλέ#ος ἐν πο#λέ#μοις,</t>
  </si>
  <si>
    <t xml:space="preserve">DS_ ‖ DD_ </t>
  </si>
  <si>
    <t>σαθρὸν ἀποσκεδάσας, τεῦξέ μιν ἀσφαλέως.</t>
  </si>
  <si>
    <t>σαθ#ρὸν ἀ#ποσ#κε#δά#σας, τεῦ#ξέ μιν ἀσ#φα#λέ#ως.</t>
  </si>
  <si>
    <t xml:space="preserve">DD_ ‖ DD_ </t>
  </si>
  <si>
    <t>τοῦτον μητρὶ θεοῦ, κάλλεϊ λαμπόμενον·</t>
  </si>
  <si>
    <t>τοῦ#τον μη#τρὶ θε#οῦ, κάλ#λε#ϊ λαμ#πό#με#νον·</t>
  </si>
  <si>
    <r>
      <rPr>
        <sz val="10.5"/>
        <color rgb="FF000000"/>
        <rFont val="Palatino Linotype"/>
        <family val="1"/>
      </rPr>
      <t>SD_ ‖ DD</t>
    </r>
    <r>
      <rPr>
        <sz val="10.5"/>
        <color rgb="FF000000"/>
        <rFont val="Symbol"/>
        <family val="1"/>
        <charset val="2"/>
      </rPr>
      <t>È</t>
    </r>
    <r>
      <rPr>
        <sz val="10.5"/>
        <color rgb="FF000000"/>
        <rFont val="Palatino Linotype"/>
        <family val="1"/>
      </rPr>
      <t xml:space="preserve"> </t>
    </r>
  </si>
  <si>
    <t>κρείσσονα τῆς προτέρης ὤπασεν ἀγλαΐην.</t>
  </si>
  <si>
    <t>κρείσ#σο#να τῆς προ#τέ#ρης ὤ#πα#σεν ἀγ#λα#ΐ#ην.</t>
  </si>
  <si>
    <t>1 2 4</t>
  </si>
  <si>
    <t>τοῖς πολυδινήτοις κύμασι μαρνάμενος.</t>
  </si>
  <si>
    <t>τοῖς πο#λυ#δι#νή#τοις κύ#μα#σι μαρ#νά#με#νος.</t>
  </si>
  <si>
    <r>
      <rPr>
        <sz val="10.5"/>
        <color rgb="FF000000"/>
        <rFont val="Palatino Linotype"/>
        <family val="1"/>
      </rPr>
      <t>DS_ ‖ DD</t>
    </r>
    <r>
      <rPr>
        <sz val="10.5"/>
        <color rgb="FF000000"/>
        <rFont val="Symbol"/>
        <family val="1"/>
        <charset val="2"/>
      </rPr>
      <t>È</t>
    </r>
    <r>
      <rPr>
        <sz val="10.5"/>
        <color rgb="FF000000"/>
        <rFont val="Palatino Linotype"/>
        <family val="1"/>
      </rPr>
      <t xml:space="preserve"> </t>
    </r>
  </si>
  <si>
    <t>νηῷ θεσπεσίῳ τῷδε φυλασσόμενον.</t>
  </si>
  <si>
    <t>νη#ῷ θεσ#πε#σί#ῳ τῷ#δε φυ#λασ#σό#με#νον.</t>
  </si>
  <si>
    <r>
      <rPr>
        <sz val="10.5"/>
        <color rgb="FF000000"/>
        <rFont val="Palatino Linotype"/>
        <family val="1"/>
      </rPr>
      <t>SD_ ‖ DD</t>
    </r>
    <r>
      <rPr>
        <sz val="10.5"/>
        <color rgb="FF000000"/>
        <rFont val="Symbol"/>
        <family val="1"/>
        <charset val="2"/>
      </rPr>
      <t xml:space="preserve">È </t>
    </r>
  </si>
  <si>
    <t xml:space="preserve">πόντῳ ἐπαΐξας, θήκαο φαιδροτέρην. </t>
  </si>
  <si>
    <t xml:space="preserve">πόν#τῳ ἐ#πα#ΐ#ξας, θή#κα#ο φαιδ#ρο#τέ#ρην. </t>
  </si>
  <si>
    <t>τῇ πρὶν ἀρειοτέρην νῦν λάχον ἀγλαΐην.</t>
  </si>
  <si>
    <t>τῇ πρὶν ἀ#ρει#ο#τέ#ρην νῦν λά#χον ἀγ#λα#ΐ#ην.</t>
  </si>
  <si>
    <t>τῇ πρῖν ἀρειοτέρην νῦν λάχον ἀγλαΐην.</t>
  </si>
  <si>
    <t xml:space="preserve">DD_ ‖DD_ </t>
  </si>
  <si>
    <t xml:space="preserve">Abacc.D_ ‖ DD_ </t>
  </si>
  <si>
    <t>ξῦσεν Ἰουλιανὴ καὶ νέον ἄνθος ἔχω.</t>
  </si>
  <si>
    <t>ξῦ#σεν Ἰ#ου#λι#α#νὴ καὶ νέ#ον ἄν#θος ἔ#χω.</t>
  </si>
  <si>
    <t>εἶχεν Ἰουλιανὴ μάρτυρα νηοπόλον·</t>
  </si>
  <si>
    <t>εἶ#χεν Ἰ#ου#λι#α#νὴ μάρ#τυ#ρα νη#ο#πό#λον·</t>
  </si>
  <si>
    <r>
      <t>DD_ ‖DD</t>
    </r>
    <r>
      <rPr>
        <sz val="10.5"/>
        <color theme="1"/>
        <rFont val="Symbol"/>
        <family val="1"/>
        <charset val="2"/>
      </rPr>
      <t>È</t>
    </r>
  </si>
  <si>
    <t>ἤνυσεν, οὐρανίης ἔμπλεον ἀγλαΐης.</t>
  </si>
  <si>
    <t>ἤ#νυ#σεν, οὐ#ρα#νί#ης ἔμ#πλε#ον ἀγ#λα#ΐ#ης.</t>
  </si>
  <si>
    <t>ἄνθετο δ' ἀχράντῳ μάρτυρί με Τροφίμῳ.</t>
  </si>
  <si>
    <t>ἄν#θε#το δ' ἀχ#ράν#τῳ μάρ#τυ#ρί με Τρο#φί#μῳ.</t>
  </si>
  <si>
    <r>
      <t xml:space="preserve">DS_ </t>
    </r>
    <r>
      <rPr>
        <sz val="10.5"/>
        <color theme="1"/>
        <rFont val="Palatino Linotype"/>
        <family val="1"/>
      </rPr>
      <t>‖</t>
    </r>
    <r>
      <rPr>
        <sz val="10.5"/>
        <color theme="1"/>
        <rFont val="Times New Roman"/>
        <family val="1"/>
      </rPr>
      <t xml:space="preserve">DD_ </t>
    </r>
  </si>
  <si>
    <t>αἰθερίων μεδέων, εἰναλίων, χθονίων,</t>
  </si>
  <si>
    <t>αἰ#θε#ρί#ων με#δέ#ων, εἰ#να#λί#ων, χθο#νί#ων,</t>
  </si>
  <si>
    <t>δὸς χάριν εὐεπίης καὶ λογικῆς σοφίης.</t>
  </si>
  <si>
    <t>δὸς χά#ριν εὐ#ε#πί#ης καὶ λο#γι#κῆς σο#φί#ης.</t>
  </si>
  <si>
    <t xml:space="preserve">DD_ ‖DD_  </t>
  </si>
  <si>
    <t>καὶ λογικῆς σοφίης ἐμπέραμον τέλεσον,</t>
  </si>
  <si>
    <t>καὶ λο#γι#κῆς σο#φί#ης ἐμ#πέ#ρα#μον τέ#λε#σον,</t>
  </si>
  <si>
    <r>
      <t>DD_ ‖ DD</t>
    </r>
    <r>
      <rPr>
        <sz val="10.5"/>
        <color theme="1"/>
        <rFont val="Symbol"/>
        <family val="1"/>
        <charset val="2"/>
      </rPr>
      <t>È</t>
    </r>
  </si>
  <si>
    <t>1 2</t>
  </si>
  <si>
    <t>φάρμακον ἀφραδίης, πρόξενον εὐφραδίης.</t>
  </si>
  <si>
    <t>φάρ#μα#κον ἀφ#ρα#δί#ης, πρό#ξε#νον εὐφ#ρα#δί#ης.</t>
  </si>
  <si>
    <t>ἢ δέμας ἢ κραδίην τειρομένων μερόπων·</t>
  </si>
  <si>
    <t>ἢ δέ#μας ἢ κρα#δί#ην τει#ρο#μέ#νων με#ρό#πων·</t>
  </si>
  <si>
    <t>οὔνομα σόν, Μιχαήλ, ἢ τύπον, ἢ θαλάμους.</t>
  </si>
  <si>
    <t>οὔ#νο#μα σόν, Μι#χα#ήλ, ἢ τύ#πον, ἢ θα#λά#μους.</t>
  </si>
  <si>
    <t>1 2 3 4 5</t>
  </si>
  <si>
    <t>ἐς νοερὴν ἀνάγει μνῆστιν ἐπουρανίων.</t>
  </si>
  <si>
    <t>ἐς νο#ε#ρὴν ἀ#νά#γει μνῆσ#τιν ἐ#που#ρα#νί#ων.</t>
  </si>
  <si>
    <t>2 4</t>
  </si>
  <si>
    <t>ἆ μέγα τολμήεις – κηρὸς ἀπεπλάσατο.</t>
  </si>
  <si>
    <t>ἆ μέ#γα τολ#μή#εις – κη#ρὸς ἀ#πεπ#λά#σα#το.</t>
  </si>
  <si>
    <r>
      <t>DS_ ‖DD</t>
    </r>
    <r>
      <rPr>
        <sz val="10.5"/>
        <color theme="1"/>
        <rFont val="Symbol"/>
        <family val="1"/>
        <charset val="2"/>
      </rPr>
      <t xml:space="preserve">È </t>
    </r>
  </si>
  <si>
    <t>θυμὸν ἀπιθύνει κρέσσονι φαντασίῃ·</t>
  </si>
  <si>
    <t>θυ#μὸν ἀ#πι#θύ#νει κρέσ#σο#νι φαν#τα#σί#ῃ·</t>
  </si>
  <si>
    <t>τὸν τύπον ἐγγράψας ὡς παρεόντα τρέμει·</t>
  </si>
  <si>
    <t>τὸν τύ#πον ἐγ#γρά#ψας ὡς πα#ρε#όν#τα τρέ#μει·</t>
  </si>
  <si>
    <t xml:space="preserve">DS_ ‖DD_ </t>
  </si>
  <si>
    <t>χρώμασι πορθμεῦσαι τὴν φρενὸς ἱκεσίην.</t>
  </si>
  <si>
    <t>χρώ#μα#σι πορ#θμεῦ#σαι τὴν φρε#νὸς ἱ#κε#σί#ην.</t>
  </si>
  <si>
    <t>Ῥουφῖνος Φαρίης, Ἀγαθίης Ἀσίης,</t>
  </si>
  <si>
    <t>Ῥου#φῖ#νος Φα#ρί#ης, Ἀ#γα#θί#ης Ἀ#σί#ης,</t>
  </si>
  <si>
    <t xml:space="preserve">SD_ ‖ DD_ </t>
  </si>
  <si>
    <t>ἄνθεσαν εἰς σέ, μάκαρ, τὴν σφετέρην γραφίδα,</t>
  </si>
  <si>
    <t>ἄν#θε#σαν εἰς σέ, μά#καρ, τὴν σφε#τέ#ρην γρα#φί#δα,</t>
  </si>
  <si>
    <r>
      <t>DD_ ‖ DD</t>
    </r>
    <r>
      <rPr>
        <sz val="10.5"/>
        <color theme="1"/>
        <rFont val="Symbol"/>
        <family val="1"/>
        <charset val="2"/>
      </rPr>
      <t xml:space="preserve">È </t>
    </r>
  </si>
  <si>
    <t>ἐλπίδας ἰθύνων ἐσσομένου βιότου.</t>
  </si>
  <si>
    <t>ἐλ#πί#δας ἰ#θύ#νων ἐσ#σο#μέ#νου βι#ό#του.</t>
  </si>
  <si>
    <t>ἀσκοπος, ἀλλὰ βροτῶν δῶρα πέλουσι τάδε.</t>
  </si>
  <si>
    <t>ἀσ#κο#πος, ἀλ#λὰ βρο#τῶν δῶ#ρα πέ#λου#σι τά#δε.</t>
  </si>
  <si>
    <t>καὶ δὶς ἀεθλεύει πρὸς θρόνον ἀνθυπάτων.</t>
  </si>
  <si>
    <t>καὶ δὶς ἀ#εθ#λεύ#ει πρὸς θρό#νον ἀν#θυ#πά#των.</t>
  </si>
  <si>
    <t>χρώμασι μιμηλὴν ἀντετύπωσε χάριν.</t>
  </si>
  <si>
    <t>χρώ#μα#σι μι#μη#λὴν ἀν#τε#τύ#πω#σε χά#ριν.</t>
  </si>
  <si>
    <r>
      <t>DS_ ‖DD</t>
    </r>
    <r>
      <rPr>
        <sz val="10.5"/>
        <color theme="1"/>
        <rFont val="Symbol"/>
        <family val="1"/>
        <charset val="2"/>
      </rPr>
      <t>È</t>
    </r>
  </si>
  <si>
    <t>1 3</t>
  </si>
  <si>
    <t>παρθενικὴν κατέβης ἄψοφον ἴχνος ἔχων.</t>
  </si>
  <si>
    <t>παρ#θε#νι#κὴν κα#τέ#βης ἄ#ψο#φον ἴχ#νος ἔ#χων.</t>
  </si>
  <si>
    <t>2 4 5</t>
  </si>
  <si>
    <t>οὐρανὸς ἐργασίη τοῦδε πέλει βρέφεος.</t>
  </si>
  <si>
    <t>οὐ#ρα#νὸς ἐρ#γα#σί#η τοῦ#δε πέ#λει βρέ#φε#ος.</t>
  </si>
  <si>
    <r>
      <t>DD_ ‖ DD</t>
    </r>
    <r>
      <rPr>
        <sz val="10.5"/>
        <color rgb="FF000000"/>
        <rFont val="Symbol"/>
        <family val="1"/>
        <charset val="2"/>
      </rPr>
      <t>È</t>
    </r>
  </si>
  <si>
    <t>οὕνεκεν ἄνθρωπος καὶ θεὸς ἓν γέγονε.</t>
  </si>
  <si>
    <t>οὕ#νε#κεν ἄν#θρω#πος καὶ θε#ὸς ἓν γέ#γο#νε.</t>
  </si>
  <si>
    <r>
      <t>DS_ ‖ DD</t>
    </r>
    <r>
      <rPr>
        <sz val="10.5"/>
        <color theme="1"/>
        <rFont val="Symbol"/>
        <family val="1"/>
        <charset val="2"/>
      </rPr>
      <t>È</t>
    </r>
  </si>
  <si>
    <t>Λάζαρον ἐκ νεκύων ἐς φάος αὐτὸς ἄγει.</t>
  </si>
  <si>
    <t>Λά#ζα#ρον ἐκ νε#κύ#ων ἐς φά#ος αὐ#τὸς ἄ#γει.</t>
  </si>
  <si>
    <t>Χριστός, ἐὼν ἱερεύς, αὐτὸς ἐὼν θυσίη.</t>
  </si>
  <si>
    <t>Χρισ#τός, ἐ#ὼν ἱ#ε#ρεύς, αὐ#τὸς ἐ#ὼν θυ#σί#η.</t>
  </si>
  <si>
    <t>πλῦνον ἐμῆς ψυχῆς πᾶσαν ἀτασθαλίην.</t>
  </si>
  <si>
    <t>πλῦ#νον ἐ#μῆς ψυ#χῆς πᾶ#σαν ἀ#τασ#θα#λί#ην.</t>
  </si>
  <si>
    <t>1 2 3 4</t>
  </si>
  <si>
    <t>Ἵλαθι, τῆς καθαρῆς δέσποτα παρθενίης.</t>
  </si>
  <si>
    <t>Ἵ#λα#θι, τῆς κα#θα#ρῆς δέσ#πο#τα παρ#θε#νί#ης.</t>
  </si>
  <si>
    <t>ἀμνοῦ· ὀλοθρεύων, φεῦγε, μὴ ἐγγὺς ἴθι.</t>
  </si>
  <si>
    <t>ἀμ#νοῦ· ὀ#λοθ#ρεύ#ων, φεῦ#γε, μὴ ἐγ#γὺς ἴ#θι.</t>
  </si>
  <si>
    <r>
      <t>DS_ ‖ DD</t>
    </r>
    <r>
      <rPr>
        <sz val="10.5"/>
        <color theme="1"/>
        <rFont val="Symbol"/>
        <family val="1"/>
        <charset val="2"/>
      </rPr>
      <t xml:space="preserve">È </t>
    </r>
  </si>
  <si>
    <t>ἄβροχος αὐτὸς ὅδε. Κρύπτε νόῳ κρύφια.</t>
  </si>
  <si>
    <t>ἄβ#ρο#χος αὐ#τὸς ὅ#δε. Κρύπ#τε νό#ῳ κρύ#φι#α.</t>
  </si>
  <si>
    <t>ἄβροχος αὐτὸς ώδε. Κρύπτε νόῳ κρύφια.</t>
  </si>
  <si>
    <r>
      <t>DCr_ ‖ DD</t>
    </r>
    <r>
      <rPr>
        <sz val="10.5"/>
        <color theme="1"/>
        <rFont val="Symbol"/>
        <family val="1"/>
        <charset val="2"/>
      </rPr>
      <t>È</t>
    </r>
  </si>
  <si>
    <t>ἃ προτυποῖ μούνοις εὐσεβέεσσι λόγον.</t>
  </si>
  <si>
    <t>ἃ προ#τυ#ποῖ μού#νοις εὐ#σε#βέ#εσ#σι λό#γον.</t>
  </si>
  <si>
    <t>ἃ προτυποῖ μούνοις εὐσεβέεσσι λόγοις.</t>
  </si>
  <si>
    <t>DS_ ‖ DD_</t>
  </si>
  <si>
    <t>Τῷδε τύπῳ Ἀμαλὴκ ὄλλυται ἀμφότερος.</t>
  </si>
  <si>
    <t>Τῷ#δε τύ#πῳ Ἀ#μα#λὴκ ὄλ#λυ#ται ἀμ#φό#τε#ρος.</t>
  </si>
  <si>
    <t xml:space="preserve">νυμφίου ἀψευδοῦς οὕνεκέν ἐσσι τύπος. </t>
  </si>
  <si>
    <t xml:space="preserve">νυμ#φί#ου ἀ#ψευ#δοῦς οὕ#νε#κέν ἐσ#σι τύ#πος. </t>
  </si>
  <si>
    <t>σὸς τύπος ἡ λάρναξ τῇδε λοεσσομένου.</t>
  </si>
  <si>
    <t>σὸς τύ#πος ἡ λάρ#ναξ τῇ#δε λο#εσ#σο#μέ#νου.</t>
  </si>
  <si>
    <t>σὸς τύπος ἡ λάρναξ τῇδε λοεσσόμενον.</t>
  </si>
  <si>
    <r>
      <t>DS_ ‖ DD</t>
    </r>
    <r>
      <rPr>
        <sz val="10.5"/>
        <color theme="1"/>
        <rFont val="Symbol"/>
        <family val="1"/>
        <charset val="2"/>
      </rPr>
      <t xml:space="preserve">_ </t>
    </r>
  </si>
  <si>
    <r>
      <t>DS_ ‖ DD</t>
    </r>
    <r>
      <rPr>
        <sz val="10.5"/>
        <color theme="1"/>
        <rFont val="Symbol"/>
        <family val="1"/>
        <charset val="2"/>
      </rPr>
      <t></t>
    </r>
  </si>
  <si>
    <t>Ἐξ ἐθνῶν καὶ ἐγώ, τοὔνεκεν οἶδα τάδε.</t>
  </si>
  <si>
    <t>Ἐξ ἐθ#νῶν καὶ ἐ#γώ, τοὔ#νε#κεν οἶ#δα τά#δε.</t>
  </si>
  <si>
    <r>
      <t>Ἐξ ἐθνῶν καὶ ἐγώ, τοὔνεκεν</t>
    </r>
    <r>
      <rPr>
        <sz val="12"/>
        <rFont val="Times New Roman"/>
        <family val="1"/>
      </rPr>
      <t xml:space="preserve"> οἶδεν τάδε.</t>
    </r>
  </si>
  <si>
    <r>
      <t>SD_ ‖ DD</t>
    </r>
    <r>
      <rPr>
        <sz val="10.5"/>
        <color theme="1"/>
        <rFont val="Symbol"/>
        <family val="1"/>
        <charset val="2"/>
      </rPr>
      <t>È</t>
    </r>
  </si>
  <si>
    <r>
      <t>SD_ ‖ DAbacc</t>
    </r>
    <r>
      <rPr>
        <sz val="10.5"/>
        <color theme="1"/>
        <rFont val="Symbol"/>
        <family val="1"/>
        <charset val="2"/>
      </rPr>
      <t></t>
    </r>
  </si>
  <si>
    <t>Χριστοῦ τοσσατίων ἴσθι τύπους ἑτάρων.</t>
  </si>
  <si>
    <t>Χρισ#τοῦ τοσ#σα#τί#ων ἴσ#θι τύ#πους ἑ#τά#ρων.</t>
  </si>
  <si>
    <r>
      <t>SD_ ‖ DD</t>
    </r>
    <r>
      <rPr>
        <sz val="10.5"/>
        <color theme="1"/>
        <rFont val="Symbol"/>
        <family val="1"/>
        <charset val="2"/>
      </rPr>
      <t>_</t>
    </r>
  </si>
  <si>
    <t>νοῦς ὁράᾳ θυσίην, ἧς τόδε γράμμα τύπος.</t>
  </si>
  <si>
    <t>νοῦς ὁ#ρά#ᾳ θυ#σί#ην, ἧς τό#δε γράμ#μα τύ#πος.</t>
  </si>
  <si>
    <t>ὡς τίς ἐὼν παρέχεις; ― Ὡς τύπος ἀτρεκίης.</t>
  </si>
  <si>
    <t>ὡς τίς ἐ#ὼν πα#ρέ#χεις; ― Ὡς τύ#πος ἀτ#ρε#κί#ης.</t>
  </si>
  <si>
    <r>
      <t>DD_ ‖ DD</t>
    </r>
    <r>
      <rPr>
        <sz val="10.5"/>
        <color theme="1"/>
        <rFont val="Symbol"/>
        <family val="1"/>
        <charset val="2"/>
      </rPr>
      <t>_</t>
    </r>
  </si>
  <si>
    <t>ἐς φύσιν ἀτρεκέως ἤλυθεν ἀνδρομέην.</t>
  </si>
  <si>
    <t>ἐς φύ#σιν ἀτ#ρε#κέ#ως ἤ#λυ#θεν ἀν#δρο#μέ#ην.</t>
  </si>
  <si>
    <t>εὐφραίνει πατέρα νοῦς θεὸν εἰσορόων.</t>
  </si>
  <si>
    <t>εὐφ#ραί#νει πα#τέ#ρα νοῦς θε#ὸν εἰ#σο#ρό#ων.</t>
  </si>
  <si>
    <r>
      <t>SD</t>
    </r>
    <r>
      <rPr>
        <sz val="10.5"/>
        <color theme="1"/>
        <rFont val="Symbol"/>
        <family val="1"/>
        <charset val="2"/>
      </rPr>
      <t>È</t>
    </r>
    <r>
      <rPr>
        <sz val="10.5"/>
        <color theme="1"/>
        <rFont val="Palatino Linotype"/>
        <family val="1"/>
      </rPr>
      <t xml:space="preserve"> ‖ DD</t>
    </r>
    <r>
      <rPr>
        <sz val="10.5"/>
        <color theme="1"/>
        <rFont val="Symbol"/>
        <family val="1"/>
        <charset val="2"/>
      </rPr>
      <t>_</t>
    </r>
  </si>
  <si>
    <t>κάτθορεν ἐξ ὕψους, σώματος οὐ καθαροῦ.</t>
  </si>
  <si>
    <t>κάτ#θο#ρεν ἐξ ὕ#ψους, σώ#μα#τος οὐ κα#θα#ροῦ.</t>
  </si>
  <si>
    <r>
      <t>DS_ ‖ DD</t>
    </r>
    <r>
      <rPr>
        <sz val="10.5"/>
        <color theme="1"/>
        <rFont val="Symbol"/>
        <family val="1"/>
        <charset val="2"/>
      </rPr>
      <t>_</t>
    </r>
  </si>
  <si>
    <t>νύμφης ἐξ ἐθνῶν οὕνεκέν ἐστι τύπος.</t>
  </si>
  <si>
    <t>νύμ#φης ἐξ ἐθ#νῶν οὕ#νε#κέν ἐσ#τι τύ#πος.</t>
  </si>
  <si>
    <r>
      <t>SS_ ‖ DD</t>
    </r>
    <r>
      <rPr>
        <sz val="10.5"/>
        <color theme="1"/>
        <rFont val="Symbol"/>
        <family val="1"/>
        <charset val="2"/>
      </rPr>
      <t>È</t>
    </r>
  </si>
  <si>
    <t>πρῶτα μὲν ἐκ γαστρός, δεύτερα δ' ἐκ νεκύων.</t>
  </si>
  <si>
    <t>πρῶ#τα μὲν ἐκ γασ#τρός, δεύ#τε#ρα δ' ἐκ νε#κύ#ων.</t>
  </si>
  <si>
    <t>ἀνθρώπων ζωῆς τῇδε λοεσσόμενον.</t>
  </si>
  <si>
    <t>ἀν#θρώ#πων ζω#ῆς τῇ#δε λο#εσ#σό#με#νον.</t>
  </si>
  <si>
    <t>οὗτος ὃν εἰσοράᾳς ἐνθάδε χριόμενον.</t>
  </si>
  <si>
    <t>οὗ#τος ὃν εἰ#σο#ρά#ᾳς ἐν#θά#δε χρι#ό#με#νον.</t>
  </si>
  <si>
    <t>ἔσταλται νοέεις, ὄφρα τέλεια βλέποις;</t>
  </si>
  <si>
    <t>ἔσ#ταλ#ται νο#έ#εις, ὄφ#ρα τέ#λει#α βλέ#ποις;</t>
  </si>
  <si>
    <t>σῴζει, τὴν ἐθνικήν, ὕδατος ἐγγὺς ἰδών.</t>
  </si>
  <si>
    <t>σῴ#ζει, τὴν ἐθ#νι#κήν, ὕ#δα#τος ἐγ#γὺς ἰ#δών.</t>
  </si>
  <si>
    <t>θαύματος, εἰ Χριστοῦ πνεῦμά σ' ἔχει, νοέεις.</t>
  </si>
  <si>
    <t>θαύ#μα#τος, εἰ Χρισ#τοῦ πνεῦ#μά σ' ἔ#χει, νο#έ#εις.</t>
  </si>
  <si>
    <t>ἔμπεδον ἡ χήρη οὕνεκα πίστιν ἔχει.</t>
  </si>
  <si>
    <t>ἔμ#πε#δον ἡ χή#ρη οὕ#νε#κα πίσ#τιν ἔ#χει.</t>
  </si>
  <si>
    <t>ὃς θεοῦ ἐκ φωνῆς ἔλλαχε τοῦτο γέρας.</t>
  </si>
  <si>
    <t>ὃς θε#οῦ ἐκ φω#νῆς ἔλ#λα#χε τοῦ#το γέ#ρας.</t>
  </si>
  <si>
    <t>φωτὸς ἀπειρεσίου γαῖαν ἔπλησεν ὅλην.</t>
  </si>
  <si>
    <t>φω#τὸς ἀ#πει#ρε#σί#ου γαῖ#αν ἔπ#λη#σεν ὅ#λην.</t>
  </si>
  <si>
    <r>
      <t>DD_ ‖ DD</t>
    </r>
    <r>
      <rPr>
        <sz val="10.5"/>
        <color theme="1"/>
        <rFont val="Symbol"/>
        <family val="1"/>
        <charset val="2"/>
      </rPr>
      <t xml:space="preserve">_ </t>
    </r>
  </si>
  <si>
    <t>πρῶτος Ἰωάννης ὡς θεὸς ἦν ὁ λόγος.</t>
  </si>
  <si>
    <t>πρῶ#τος Ἰ#ω#άν#νης ὡς θε#ὸς ἦν ὁ λό#γος.</t>
  </si>
  <si>
    <t>εἶπεν Ἰωάννης ὡς θεὸς ἦν ὁ λόγος.</t>
  </si>
  <si>
    <t>εἶ#πεν Ἰ#ω#άν#νης ὡς θε#ὸς ἦν ὁ λό#γος.</t>
  </si>
  <si>
    <t>ὄρφνη, ἐπεὶ φωνῆς Μάρκου ἔδεκτο φάος.</t>
  </si>
  <si>
    <t>ὄρ#φνη, ἐ#πεὶ φω#νῆς Μάρ#κου ἔ#δεκ#το φά#ος.</t>
  </si>
  <si>
    <t>ἔλλαχεν, ἶσα λαχὼν καὶ τάδε Γρηγορίῳ.</t>
  </si>
  <si>
    <t>ἔλ#λα#χεν, ἶ#σα λα#χὼν καὶ τά#δε Γρη#γο#ρί#ῳ.</t>
  </si>
  <si>
    <t>ἔσχε καὶ ἀτρεκέως μαρτυρίης στεφάνους.</t>
  </si>
  <si>
    <t>ἔσ#χε καὶ ἀ#τρε#κέ#ως μαρ#τυ#ρί#ης στε#φά#νους.</t>
  </si>
  <si>
    <t>εἰς ἔλεον παλάμας ἔσχον ἑτοιμοτάτας.</t>
  </si>
  <si>
    <t>εἰς ἔ#λε#ον πα#λά#μας ἔσ#χον ἑ#τοι#μο#τά#τας.</t>
  </si>
  <si>
    <t>καὶ τῷ Ἰωάννῃ, μάρτυσι θεσπεσίοις,</t>
  </si>
  <si>
    <t>καὶ τῷ Ἰ#ω#άν#νῃ, μάρ#τυ#σι θεσ#πε#σί#οις,</t>
  </si>
  <si>
    <t>βαιὸν ἀμειβόμενος τήνδ' ἀνέθηκε βίβλον.</t>
  </si>
  <si>
    <t>βαι#ὸν ἀ#μει#βό#με#νος τήν#δ' ἀ#νέ#θη#κε βίβ#λον.</t>
  </si>
  <si>
    <t>στέψεν Ἰωάννης Χριστοῦ ἐφημοσύναις.</t>
  </si>
  <si>
    <t>στέ#ψεν Ἰ#ω#άν#νης Χρισ#τοῦ ἐ#φη#μο#σύ#ναις.</t>
  </si>
  <si>
    <t>πάντοθεν ὀρνυμένους οὐ τρομέων ἀνέμους.</t>
  </si>
  <si>
    <t>πάν#το#θεν ὀρ#νυ#μέ#νους οὐ τρο#μέ#ων ἀ#νέ#μους.</t>
  </si>
  <si>
    <t>ἴχνια ῥιζώσας κίονι διχθαδίῳ·</t>
  </si>
  <si>
    <t>ἴχ#νι#α ῥι#ζώ#σας κί#ον#ι διχ#θα#δί#ῳ·</t>
  </si>
  <si>
    <t>υἱέα κηρύσσων μητρὸς ἀπειρογάμου.</t>
  </si>
  <si>
    <t>υἱ#έ#α κη#ρύσ#σων μητ#ρὸς ἀ#πει#ρο#γά#μου.</t>
  </si>
  <si>
    <t>εἰς ὀλοὴν ἀπάτην ἐλπίδας ἐκκρεμάσας.</t>
  </si>
  <si>
    <t>εἰς ὀ#λο#ὴν ἀ#πά#την ἐλ#πί#δας ἐκ#κρε#μά#σας.</t>
  </si>
  <si>
    <t>ἦλθε δὲ καὶ Χριστοῦ πανσθενέος θεράπων·</t>
  </si>
  <si>
    <t>ἦλ#θε δὲ καὶ Χρισ#τοῦ παν#σθε#νέ#ος θε#ρά#πων·</t>
  </si>
  <si>
    <t>1 2 3</t>
  </si>
  <si>
    <t>νικηθεὶς νίκην ἤνυσα θειοτέρην.</t>
  </si>
  <si>
    <t>νι#κη#θεὶς νί#κην ἤ#νυ#σα θει#ο#τέ#ρην.</t>
  </si>
  <si>
    <t xml:space="preserve">SS_ ‖ DD_ </t>
  </si>
  <si>
    <t>δῶρ' ἀπὸ κρυστάλλων, δῶρ' ἀπὸ σαρδονύχων.</t>
  </si>
  <si>
    <t>δῶ#ρ' ἀ#πὸ κρυσ#τάλ#λων, δῶ#ρ' ἀ#πὸ σαρ#δο#νύ#χων.</t>
  </si>
  <si>
    <t xml:space="preserve">δῶρ' ἀπὸ κρυστάλλων, δῶρ' ἀπὸ σαρδονύχων. </t>
  </si>
  <si>
    <t xml:space="preserve">δῶ#ρ' ἀ#πὸ κρυσ#τάλ#λων, δῶ#ρ' ἀ#πὸ σαρ#δο#νύ#χων. </t>
  </si>
  <si>
    <t>Iamb</t>
  </si>
  <si>
    <t>caesura</t>
  </si>
  <si>
    <t>long syllabe before caesura</t>
  </si>
  <si>
    <t>Porson bridge</t>
  </si>
  <si>
    <t>paroxyton word, 6th foot</t>
  </si>
  <si>
    <t>Ἃς οἱ πλάνοι καθεῖλον ἐνθάδ' εἰκόνας·</t>
  </si>
  <si>
    <t>Ἃς οἱ πλά#νοι κα#θεῖ#λον ἐν#θά#δ' εἰ#κό#νας·</t>
  </si>
  <si>
    <t>SIIIIP</t>
  </si>
  <si>
    <t>ἄνακτες ἐστήλωσαν εὐσεβεῖς πάλιν.</t>
  </si>
  <si>
    <t>ἄ#νακ#τες ἐσ#τή#λω#σαν εὐ#σε#βεῖς# πά#λιν.</t>
  </si>
  <si>
    <t>IISIIP</t>
  </si>
  <si>
    <t>Τοῖς σοῖς θεράπουσιν ἡ θεράπαινα προσφέρω</t>
  </si>
  <si>
    <t>Τοῖς σοῖς θε#ρά#που#σιν ἡ θε#ρά#παι#να προσ#φέ#ρω</t>
  </si>
  <si>
    <t xml:space="preserve">SApIApII </t>
  </si>
  <si>
    <t>Σοφία τὸ δῶρον. Χριστέ, προσδέχου τὰ σὰ</t>
  </si>
  <si>
    <t>Σο#φί#α τὸ δῶ#ρον. Χρισ#τέ, προσ#δέ#χου τὰ σὰ</t>
  </si>
  <si>
    <t xml:space="preserve">ApIISIP </t>
  </si>
  <si>
    <t>καὶ τῷ βασιλεῖ μου μισθὸν Ἰουστίνῳ δίδου</t>
  </si>
  <si>
    <t>καὶ τῷ βα#σι#λεῖ μου μισ#θὸν Ἰ#ουσ#τί#νῳ δί#δου</t>
  </si>
  <si>
    <t xml:space="preserve">SApSApSI </t>
  </si>
  <si>
    <t>νίκας ἐπὶ νίκαις κατὰ νόσων καὶ βαρβάρων.</t>
  </si>
  <si>
    <t>νίκ#ας ἐ#πὶ νί#καις κα#τὰ νό#σων καὶ βαρ#βά#ρων.</t>
  </si>
  <si>
    <t xml:space="preserve">SApTApSI </t>
  </si>
  <si>
    <t>Ἡ μὲν σοφὴ δέσποινα τῆς οἰκουμένης,</t>
  </si>
  <si>
    <t>Ἡ μὲν σο#φὴ δέσ#ποι#να τῆς οἰ#κου#μέ#νης,</t>
  </si>
  <si>
    <t>SISISI</t>
  </si>
  <si>
    <t>ὑπ' εὐσεβοῦς ἔρωτος ἠρεθισμένη,</t>
  </si>
  <si>
    <t>ὑ#π' εὐ#σε#βοῦς ἔ#ρω#τος ἠ#ρε#θισ#μέ#νη,</t>
  </si>
  <si>
    <t>IIIIII</t>
  </si>
  <si>
    <t>πάρεστι δούλη, προσκυνεῖ δ' ἑνὸς τάφον</t>
  </si>
  <si>
    <t>πά#ρεσ#τι δού#λη, προσ#κυ#νεῖ δ' ἑ#νὸς τά#φον</t>
  </si>
  <si>
    <t>ἡ πᾶσιν ἀνθρώποισι προσκυνουμένη.</t>
  </si>
  <si>
    <t>ἡ πᾶ#σιν ἀν#θρώ#ποι#σι προσ#κυ#νου#μέ#νη.</t>
  </si>
  <si>
    <t>SISIII</t>
  </si>
  <si>
    <t>Ὁ γὰρ δεδωκὼς τὸν θρόνον καὶ τὸν γάμον</t>
  </si>
  <si>
    <t>Ὁ γὰρ δε#δω#κὼς τὸν θρό#νον καὶ τὸν γά#μον</t>
  </si>
  <si>
    <t>IISISP</t>
  </si>
  <si>
    <t>τέθνηκεν ὡς ἄνθρωπος, ἀλλὰ ζῇ θεός.</t>
  </si>
  <si>
    <t>τέθ#νη#κεν ὡς ἄν#θρω#πος, ἀλ#λὰ ζῇ θε#ός.</t>
  </si>
  <si>
    <t>[Κάτω μὲν ἠνθρώπιζεν, ἦν δ' ὡς ἦν ἄνω.]</t>
  </si>
  <si>
    <t>[Κά#τω μὲν ἠν#θρώ#πι#ζεν, ἦν δ' ὡς ἦν ἄ#νω.]</t>
  </si>
  <si>
    <t>IISISI</t>
  </si>
  <si>
    <t>Ἔλαμψεν ἀκτὶς τῆς ἀληθείης πάλιν</t>
  </si>
  <si>
    <t>Ἔ#λαμ#ψεν ἀκ#τὶς τῆς ἀ#λη#θεί#ης πά#λιν</t>
  </si>
  <si>
    <t>καὶ τὰς κόρας ἤμβλυνε τῶν ψευδηγόρων·</t>
  </si>
  <si>
    <t>καὶ τὰς κό#ρας ἤμ#βλυ#νε τῶν ψευ#δη#γό#ρων·</t>
  </si>
  <si>
    <t>ηὔξησεν εὐσέβεια, πέπτωκε πλάνη·</t>
  </si>
  <si>
    <t>ηὔ#ξη#σεν εὐ#σέ#βει#α, πέ#πτω#κε πλά#νη·</t>
  </si>
  <si>
    <t>SIIISI</t>
  </si>
  <si>
    <t>καὶ πίστις ἀνθεῖ καὶ πλατύνεται χάρις.</t>
  </si>
  <si>
    <t>καὶ πίσ#τις ἀν#θεῖ καὶ πλα#τύ#νε#ται χά#ρις.</t>
  </si>
  <si>
    <t>SISIIP</t>
  </si>
  <si>
    <t>Ἰδοὺ γὰρ αὖθις Χριστὸς εἰκονισμένος</t>
  </si>
  <si>
    <t>Ἰ#δοὺ γὰρ αὖ#θις Χρισ#τὸς εἰ#κο#νισ#μέ#νος</t>
  </si>
  <si>
    <t>λάμπει πρὸς ὕψος τῆς καθέδρας τοῦ κράτους</t>
  </si>
  <si>
    <t>λάμ#πει πρὸς ὕ#ψος τῆς κα#θέ#δρας τοῦ κρά#τους</t>
  </si>
  <si>
    <t>καὶ τὰς σκοτεινὰς αἱρέσεις ἀνατρέπει.</t>
  </si>
  <si>
    <t>καὶ τὰς σκο#τει#νὰς αἱ#ρέ#σεις ἀ#νατ#ρέ#πει.</t>
  </si>
  <si>
    <t>Τῆς εἰσόδου δ' ὕπερθεν, ὡς θεία πύλη</t>
  </si>
  <si>
    <t>Τῆς εἰ#σό#δου δ' ὕ#περ#θεν, ὡς θεί#α πύ#λη</t>
  </si>
  <si>
    <t>στηλογραφεῖται καὶ φύλαξ ἡ παρθένος.</t>
  </si>
  <si>
    <t>στη#λο#γρα#φεῖ#ται καὶ φύ#λαξ ἡ παρ#θέ#νος.</t>
  </si>
  <si>
    <t>SISISP</t>
  </si>
  <si>
    <t>2 3</t>
  </si>
  <si>
    <t>Ἄναξ δὲ καὶ πρόεδρος ὡς πλανοτρόποι</t>
  </si>
  <si>
    <t>Ἄ#ναξ δὲ καὶ πρό#ε#δρος ὡς πλα#νο#τρό#ποι</t>
  </si>
  <si>
    <t>σὺν τοῖς συνεργοῖς ἱστοροῦνται πλησίον.</t>
  </si>
  <si>
    <t>σὺν τοῖς συν#ερ#γοῖς ἱσ#το#ροῦν#ται πλη#σί#ον.</t>
  </si>
  <si>
    <t>Κύκλῳ δὲ παντὸς οἷα φρουροὶ τοῦ δόμου,</t>
  </si>
  <si>
    <t>Κύ#κλῳ δὲ παν#τὸς οἷ#α φρου#ροὶ τοῦ δό#μου,</t>
  </si>
  <si>
    <t>IIIISI</t>
  </si>
  <si>
    <t>3 5</t>
  </si>
  <si>
    <t>νόες, μαθηταί, μάρτυρες, θυηπόλοι.</t>
  </si>
  <si>
    <t>νό#ες, μα#θη#ταί, μάρ#τυ#ρες, θυ#η#πό#λοι.</t>
  </si>
  <si>
    <t>IISIII</t>
  </si>
  <si>
    <t>Ὅθεν καλοῦμεν χριστοτρίκλινον νέον</t>
  </si>
  <si>
    <t>Ὅ#θεν κα#λοῦ#μεν χρισ#τοτ#ρίκ#λι#νον νέ#ον</t>
  </si>
  <si>
    <t>IISSIP</t>
  </si>
  <si>
    <t>τὸν πρὶν λαχόντα κλήσεως χρυσωνύμου,</t>
  </si>
  <si>
    <t>τὸν πρὶν λα#χόν#τα κλή#σε#ως χρυ#σω#νύ#μου,</t>
  </si>
  <si>
    <t>ὡς τὸν θρόνον ἔχοντα Χριστοῦ κυρίου</t>
  </si>
  <si>
    <t>ὡς τὸν θρό#νον ἔ#χον#τα Χρισ#τοῦ κυ#ρί#ου</t>
  </si>
  <si>
    <t>SIISSI</t>
  </si>
  <si>
    <t>Χριστοῦ τε μητρός, χριστοκηρύκων τύπους</t>
  </si>
  <si>
    <t>Χρισ#τοῦ τε μητ#ρός, χρισ#το#κη#ρύ#κων τύ#πους</t>
  </si>
  <si>
    <t>χριστὸν τε μητρός, χριστοκηρύκων τύπους</t>
  </si>
  <si>
    <t>καὶ τοῦ σοφουργοῦ Μιχαὴλ τὴν εἰκόνα.</t>
  </si>
  <si>
    <t>καὶ τοῦ σο#φουρ#γοῦ Μι#χα#ὴλ τὴν εἰ#κό#να.</t>
  </si>
  <si>
    <t>SISSSP</t>
  </si>
  <si>
    <t>Ὡς τὴν φαεινὴν ἀξίαν τῆς εἰκόνος</t>
  </si>
  <si>
    <t>Ὡς τὴν φα#ει#νὴν ἀ#ξί#αν τῆς εἰ#κό#νος</t>
  </si>
  <si>
    <t>τῆς πρὶν φυλάττων, Μιχαὴλ αὐτοκράτωρ,</t>
  </si>
  <si>
    <t>τῆς πρὶν φυ#λάτ#των, Μι#χα#ὴλ αὐ#το#κρά#τωρ,</t>
  </si>
  <si>
    <t>SISSSI</t>
  </si>
  <si>
    <t>κρατῶν τε πάντων σαρκικῶν μολυσμάτων,</t>
  </si>
  <si>
    <t>κρα#τῶν τε πάν#των σαρ#κι#κῶν μο#λυσ#μά#των,</t>
  </si>
  <si>
    <t>ἐξεικονίζεις καὶ γραφῇ τὸν δεσπότην,</t>
  </si>
  <si>
    <t>ἐξ#ει#κο#νί#ζεις καὶ γρα#φῇ τὸν δεσ#πό#την,</t>
  </si>
  <si>
    <t>2 3 4</t>
  </si>
  <si>
    <t>ἔργῳ κρατύνων τοὺς λόγους τῶν δογμάτων.</t>
  </si>
  <si>
    <t>ἔρ#γῳ κρα#τύ#νων τοὺς λό#γους τῶν δογ#μά#των.</t>
  </si>
  <si>
    <t>Πτωθέντα κοσμεῖ τὸν ναὸν τῆς Παρθένου</t>
  </si>
  <si>
    <t>Πτω#θέν#τα κοσ#μεῖ τὸν να#ὸν τῆς Παρ#θέ#νου</t>
  </si>
  <si>
    <t>Bασίλειός τε σὺν Κωνσταντίνῳ, Λέων.</t>
  </si>
  <si>
    <t>Bα#σί#λει#ός τε σὺν Κων#σταν#τί#νῳ, Λέ#ων.</t>
  </si>
  <si>
    <t>PSISSI</t>
  </si>
  <si>
    <t>Ἐκ γῆς ἀνελθὼν πατρικόν σου πρὸς θρόνον,</t>
  </si>
  <si>
    <t>Ἐκ γῆς ἀ#νελ#θὼν πατ#ρι#κόν σου πρὸς θρό#νον,</t>
  </si>
  <si>
    <t>τὸν μητρικόν σου, σῶτερ, οἶκον δεικνύεις</t>
  </si>
  <si>
    <t>τὸν μη#τρι#κόν σου, σῶ#τερ, οἶ#κον δεικ#νύ#εις</t>
  </si>
  <si>
    <t>πηγὴν νοητὴν κρειττόνων χαρισμάτων.</t>
  </si>
  <si>
    <t>πη#γὴν νο#η#τὴν κρειτ#τό#νων χα#ρισ#μά#των.</t>
  </si>
  <si>
    <t>Ὁ νεκρὸς Ἅιδης ἐξεμεῖ τεθνηκότας,</t>
  </si>
  <si>
    <t>Ὁ νεκ#ρὸς Ἅι#δης ἐξ#ε#μεῖ τεθ#νη#κό#τας,</t>
  </si>
  <si>
    <t>κάθαρσιν εὑρὼν σάρκα τὴν τοῦ δεσπότου.</t>
  </si>
  <si>
    <t>κά#θαρ#σιν εὑ#ρὼν σάρ#κα τὴν τοῦ δεσ#πό#του.</t>
  </si>
  <si>
    <t>Λάμψας ὁ Χριστὸς ἐν Θαβὼρ φωτὸς πλέον</t>
  </si>
  <si>
    <t>Λάμ#ψας ὁ Χρισ#τὸς ἐν Θα#βὼρ φω#τὸς πλέ#ον</t>
  </si>
  <si>
    <t>SIIISP</t>
  </si>
  <si>
    <t>σκιὰν πέπαυκε τοῦ παλαιτάτου νόμου.</t>
  </si>
  <si>
    <t>σκι#ὰν πέ#παυ#κε τοῦ πα#λαι#τά#του νό#μου.</t>
  </si>
  <si>
    <t>Ὁρώμενος νῦν χερσὶ πρεσβύτου βρέφος</t>
  </si>
  <si>
    <t>Ὁ#ρώ#με#νος νῦν χερ#σὶ πρεσ#βύ#του βρέ#φος</t>
  </si>
  <si>
    <t>παλαιός ἐστι δημιουργὸς τῶν χρόνων.</t>
  </si>
  <si>
    <t>πα#λαι#ός ἐσ#τι δη#μι#ουρ#γὸς τῶν χρό#νων.</t>
  </si>
  <si>
    <t>Προοιμιάζει κοσμικὴν σωτηρίαν</t>
  </si>
  <si>
    <t>Προ#οι#μι#ά#ζει κοσ#μι#κὴν σω#τη#ρί#αν</t>
  </si>
  <si>
    <t>εἰπὼν τὸ Χαῖρε ταῖς γυναιξὶ δεσπότης.</t>
  </si>
  <si>
    <t>εἰ#πὼν τὸ Χαῖ#ρε ταῖς γυ#ναι#ξὶ δεσ#πό#της.</t>
  </si>
  <si>
    <t>SIIIII</t>
  </si>
  <si>
    <t>Ἔβλεψε τυφλὸς ἐκ τόκου μεμυσμένος·</t>
  </si>
  <si>
    <t>Ἔβ#λε#ψε τυφ#λὸς ἐκ τό#κου με#μυσ#μέ#νος·</t>
  </si>
  <si>
    <t>Χριστὸς γὰρ ἦλθεν ἡ πανόμματος χάρις.</t>
  </si>
  <si>
    <t>Χρισ#τὸς γὰρ ἦλ#θεν ἡ πα#νόμ#μα#τος χά#ρις.</t>
  </si>
  <si>
    <t>Ἤγειρεν ἡμῖν τῶν παθῶν τρικυμίαν</t>
  </si>
  <si>
    <t>Ἤ#γει#ρεν ἡ#μῖν τῶν πα#θῶν τρι#κυ#μί#αν</t>
  </si>
  <si>
    <t>ἐχθρὸς κάκιστος πνευματώσας τὸν σάλον,</t>
  </si>
  <si>
    <t>ἐχ#θρὸς κά#κισ#τος πνευ#μα#τώ#σας τὸν σά#λον,</t>
  </si>
  <si>
    <t>ὅθεν ταράσσει, καὶ βυθίζει, καὶ βρέχει</t>
  </si>
  <si>
    <t>ὅ#θεν τα#ράσ#σει, καὶ βυ#θί#ζει, καὶ βρέ#χει</t>
  </si>
  <si>
    <t>τὸν φόρτον ἡμῶν ψυχικῆς τῆς ὁλκάδος.</t>
  </si>
  <si>
    <t>τὸν φόρ#τον ἡ#μῶν ψυ#χι#κῆς τῆς ὁλ#κά#δος.</t>
  </si>
  <si>
    <t>Ἀλλ', ὦ, γαλήνη καὶ στορεστὰ τῆς ζάλης,</t>
  </si>
  <si>
    <t>Ἀλ#λ', ὦ, γα#λή#νη καὶ στο#ρεσ#τὰ τῆς ζά#λης,</t>
  </si>
  <si>
    <t>σύ, Χριστέ, δείξαις ἀβρόχους ἁμαρτίας</t>
  </si>
  <si>
    <t>σύ, Χρισ#τέ, δεί#ξαις ἀβ#ρό#χους ἁ#μαρ#τί#ας</t>
  </si>
  <si>
    <t>τῷ σῷ πρὸς ὅρμῳ προσφόρως προσορμίσας,</t>
  </si>
  <si>
    <t>τῷ σῷ πρὸς ὅ#ρμῳ προσ#φό#ρως προσ#ορ#μί#σας,</t>
  </si>
  <si>
    <t>ἐχθρὸν δὲ τοῦτον συμφοραῖς βεβρεγμένον.</t>
  </si>
  <si>
    <t>ἐχ#θρὸν δὲ τοῦ#τον συμ#φο#ραῖς βεβ#ρεγ#μέ#νον.</t>
  </si>
  <si>
    <t>Εἰ φρικτὸν ἐν γῇ τοῦ θεοῦ ζητεῖς θρόνον,</t>
  </si>
  <si>
    <t>Εἰ φρικ#τὸν ἐν γῇ τοῦ θε#οῦ ζη#τεῖς θρό#νον,</t>
  </si>
  <si>
    <t>ἰδὼν τὸν οἶκον θαύμασον τῆς παρθένου·</t>
  </si>
  <si>
    <t>ἰ#δὼν τὸν οἶ#κον θαύ#μα#σον τῆς παρ#θέ#νου·</t>
  </si>
  <si>
    <t>ἡ γὰρ φέρουσα τὸν θεὸν ταῖς ἀγκάλαις</t>
  </si>
  <si>
    <t>ἡ γὰρ φέ#ρου#σα τὸν θε#ὸν ταῖς ἀγ#κά#λαις</t>
  </si>
  <si>
    <t>αὐτὴ γὰρ ἡ φέρουσα τὸν θεὸν ἐν ἀγκάλαις</t>
  </si>
  <si>
    <t>Mol.IIIII</t>
  </si>
  <si>
    <t>1 3  4</t>
  </si>
  <si>
    <t>φέρει τὸν αὐτὸν εἰς τὸ τοῦ τόπου σέβας.</t>
  </si>
  <si>
    <t>φέ#ρει τὸν αὐ#τὸν εἰς τὸ τοῦ τό#που σέ#βας.</t>
  </si>
  <si>
    <t>IIIIIP</t>
  </si>
  <si>
    <t>Ἐνταῦθα τῆς γῆς οἱ κρατεῖν τεταγμένοι</t>
  </si>
  <si>
    <t>Ἐν#ταῦ#θα τῆς γῆς οἱ κρα#τεῖν τε#ταγ#μέ#νοι</t>
  </si>
  <si>
    <t>τὰ σκῆπτρα πιστεύουσι τῆς νίκης ἔχειν·</t>
  </si>
  <si>
    <t>τὰ σκῆπ#τρα πισ#τεύ#ου#σι τῆς νί#κης ἔ#χειν·</t>
  </si>
  <si>
    <t>ἐνταῦθα πολλὰς κοσμικὰς περιστάσεις</t>
  </si>
  <si>
    <t>ἐν#ταῦ#θα πολ#λὰς κοσ#μι#κὰς πε#ρισ#τά#σεις</t>
  </si>
  <si>
    <t>ὁ πατριάρχης ἀγρυπνῶν ἀνατρέπει.</t>
  </si>
  <si>
    <t>ὁ πατ#ρι#άρ#χης ἀγ#ρυπ#νῶν ἀ#νατ#ρέ#πει.</t>
  </si>
  <si>
    <t>IISSII</t>
  </si>
  <si>
    <t>Οἱ βάρβαροι δὲ προσβαλόντες τῇ πόλει,</t>
  </si>
  <si>
    <t>Οἱ βάρ#βα#ροι δὲ προσ#βα#λόν#τες τῇ πό#λει,</t>
  </si>
  <si>
    <t>Οἱ βάρβαροι δὲ περιλαβόντες τὴν πόλιν,</t>
  </si>
  <si>
    <t>SITbISI</t>
  </si>
  <si>
    <t>αὐτὴν στρατηγήσασαν ὡς εἶδον μόνην,</t>
  </si>
  <si>
    <t>αὐ#τὴν στρα#τη#γή#σα#σαν ὡς εἶ#δον μό#νην,</t>
  </si>
  <si>
    <t>ἔκαμψαν εὐθὺς τοὺς ἀκαμπεῖς αὐχένας.</t>
  </si>
  <si>
    <t>ἔ#καμ#ψαν εὐ#θὺς τοὺς ἀ#καμ#πεῖς αὐ#χέ#νας.</t>
  </si>
  <si>
    <t>IIIISP</t>
  </si>
  <si>
    <t>Ἔδει γενέσθαι δευτέραν θεοῦ πύλην</t>
  </si>
  <si>
    <t>Ἔ#δει γε#νέσ#θαι δευ#τέ#ραν θε#οῦ πύ#λην</t>
  </si>
  <si>
    <t>τῆς παρθένου τὸν οἶκον, ὡς καὶ τὸν τόκον·</t>
  </si>
  <si>
    <t>τῆς παρ#θέ#νου τὸν οἶ#κον, ὡς καὶ τὸν τό#κον·</t>
  </si>
  <si>
    <t>κιβωτὸς ὤφθη τῆς πρὶν ἐνθεεστέρα,</t>
  </si>
  <si>
    <t>κι#βω#τὸς ὤφ#θη τῆς πρὶν ἐν#θε#εσ#τέ#ρα,</t>
  </si>
  <si>
    <t>οὐ τὰς πλάκας φέρουσα τὰς θεογράφους,</t>
  </si>
  <si>
    <t>οὐ τὰς πλά#κας φέ#ρου#σα τὰς θε#ο#γρά#φους,</t>
  </si>
  <si>
    <t>ἀλλ' αὐτὸν ἔνδον τὸν θεὸν δεδεγμένη.</t>
  </si>
  <si>
    <t>ἀλ#λ' αὐ#τὸν ἔν#δον τὸν θε#ὸν δε#δεγ#μέ#νη.</t>
  </si>
  <si>
    <t>Ἐνταῦθα κρουνοὶ σαρκικῶν καθαρσίων,</t>
  </si>
  <si>
    <t>Ἐν#ταῦ#θα κρου#νοὶ σαρ#κι#κῶν κα#θαρ#σί#ων,</t>
  </si>
  <si>
    <t>καὶ ψυχικῶν λύτρωσις ἀγνοημάτων·</t>
  </si>
  <si>
    <t>καὶ ψυ#χι#κῶν λύτ#ρω#σις ἀγ#νο#η#μά#των·</t>
  </si>
  <si>
    <t>ὅσαι γάρ εἰσι τῶν παθῶν περιστάσεις,</t>
  </si>
  <si>
    <t>ὅ#σαι γάρ εἰ#σι τῶν πα#θῶν πε#ρισ#τά#σεις,</t>
  </si>
  <si>
    <t>βλύζει τοσαύτας δωρεὰς τῶν θαυμάτων.</t>
  </si>
  <si>
    <t>βλύ#ζει το#σαύ#τας δω#ρε#ὰς τῶν θαυ#μά#των.</t>
  </si>
  <si>
    <t>Ἐνταῦθα νικήσασα τοὺς ἐναντίους,</t>
  </si>
  <si>
    <t>Ἐν#ταῦ#θα νι#κή#σα#σα τοὺς ἐ#ναν#τί#ους,</t>
  </si>
  <si>
    <t>ἀνεῖλεν αὐτοὺς ἀντὶ λόγχης εἰς ὕδωρ·</t>
  </si>
  <si>
    <t>ἀ#νεῖ#λεν αὐ#τοὺς ἀν#τὶ λόγ#χης εἰς ὕ#δωρ·</t>
  </si>
  <si>
    <t>τροπῆς γὰρ ἀλλοίωσιν οὐκ ἔχει μόνη,</t>
  </si>
  <si>
    <t>τρο#πῆς γὰρ ἀλ#λοί#ω#σιν οὐκ ἔ#χει μό#νη,</t>
  </si>
  <si>
    <t>Χριστὸν τεκοῦσα καὶ κλονοῦσα βαρβάρους.</t>
  </si>
  <si>
    <t>Χρισ#τὸν τε#κοῦ#σα καὶ κλο#νοῦ#σα βαρ#βά#ρους.</t>
  </si>
  <si>
    <t>Aὕτη τεκοῦσα παρθένος πάλιν μένει·</t>
  </si>
  <si>
    <t>Aὕ#τη τε#κοῦ#σα παρ#θέ#νος πά#λιν μέ#νει·</t>
  </si>
  <si>
    <t>καὶ μὴ θροηθῇς· ἔστι γὰρ τὸ παιδίον</t>
  </si>
  <si>
    <t>καὶ μὴ θρο#η#θῇς· ἔσ#τι γὰρ τὸ παι#δί#ον</t>
  </si>
  <si>
    <t>θεός θελήσας προσλαβέσθαι σαρκίον.</t>
  </si>
  <si>
    <t>θε#ός θε#λή#σας προσ#λα#βέσ#θαι σαρ#κί#ον.</t>
  </si>
  <si>
    <t>epigrame nr.</t>
  </si>
  <si>
    <t>&lt;Ἀδέσποτον&gt;</t>
  </si>
  <si>
    <t>&lt; Μαρίνου &gt;</t>
  </si>
  <si>
    <t>Νείλου Σχολαστικοῦ</t>
  </si>
  <si>
    <t>Ἀγαθίου Σχολαστικοῦ</t>
  </si>
  <si>
    <t>Τοῦ αὐτοῦ</t>
  </si>
  <si>
    <t>&lt;Γρηγορίου τοῦ Θεολόγου&gt;</t>
  </si>
  <si>
    <t>Σωφρονίου πατριάρχου Ἱεροσολύμων</t>
  </si>
  <si>
    <t>&lt; Γρηγoρίου τοῦ Ναζιανζηνοῦ &gt;</t>
  </si>
  <si>
    <t>&lt; Κύρου τοῦ Πανοπολίτου &gt;</t>
  </si>
  <si>
    <t>Μενάνδρου Προτίκτορος</t>
  </si>
  <si>
    <t>... Μαζαρήνου</t>
  </si>
  <si>
    <t>Ἰγνατίου τοῦ Μαγίστορος τῶν Γραμματικῶν</t>
  </si>
  <si>
    <t>&lt; Γεωργίου Πισίδου &gt;</t>
  </si>
  <si>
    <t xml:space="preserve">Μιχαὴλ Χαρτοφύλακος </t>
  </si>
  <si>
    <t>Σωφρονίου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</si>
</sst>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sz val="10.5"/>
      <color theme="1"/>
      <name val="Palatino Linotype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0.5"/>
      <color rgb="FF000000"/>
      <name val="Palatino Linotype"/>
      <family val="1"/>
    </font>
    <font>
      <sz val="10.5"/>
      <name val="Palatino Linotype"/>
      <family val="1"/>
    </font>
    <font>
      <sz val="12"/>
      <name val="Times New Roman"/>
      <family val="1"/>
    </font>
    <font>
      <sz val="10.5"/>
      <color theme="1"/>
      <name val="Symbol"/>
      <family val="1"/>
      <charset val="2"/>
    </font>
    <font>
      <sz val="10.5"/>
      <color rgb="FF000000"/>
      <name val="Symbol"/>
      <family val="1"/>
      <charset val="2"/>
    </font>
    <font>
      <sz val="10.5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Palatino Linotype"/>
      <family val="1"/>
    </font>
    <font>
      <sz val="12"/>
      <color theme="1"/>
      <name val="Aptos Narrow"/>
      <family val="2"/>
      <scheme val="minor"/>
    </font>
    <font>
      <sz val="12"/>
      <color rgb="FFC00000"/>
      <name val="Times New Roman"/>
      <family val="1"/>
    </font>
    <font>
      <sz val="12"/>
      <color rgb="FF000000"/>
      <name val="Palatino Linotype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2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color rgb="FFC00000"/>
      <name val="Palatino Linotype"/>
      <family val="1"/>
    </font>
    <font>
      <sz val="12"/>
      <color rgb="FF0070C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1"/>
      <color theme="1"/>
      <name val="Palatino Linotype"/>
      <family val="1"/>
    </font>
    <font>
      <sz val="11"/>
      <color rgb="FF000000"/>
      <name val="Palatino Linotype"/>
      <family val="1"/>
    </font>
    <font>
      <sz val="11"/>
      <color rgb="FFFF0000"/>
      <name val="Palatino Linotype"/>
      <family val="1"/>
    </font>
    <font>
      <sz val="11"/>
      <name val="Palatino Linotype"/>
      <family val="1"/>
    </font>
    <font>
      <vertAlign val="subscript"/>
      <sz val="11"/>
      <name val="Palatino Linotype"/>
      <family val="1"/>
    </font>
    <font>
      <vertAlign val="subscript"/>
      <sz val="11"/>
      <color rgb="FFFF0000"/>
      <name val="Palatino Linotype"/>
      <family val="1"/>
    </font>
    <font>
      <vertAlign val="subscript"/>
      <sz val="11"/>
      <color theme="1"/>
      <name val="Palatino Linotype"/>
      <family val="1"/>
    </font>
    <font>
      <sz val="12"/>
      <color rgb="FFC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FCC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8" tint="0.39997558519241921"/>
      </right>
      <top/>
      <bottom/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indexed="64"/>
      </top>
      <bottom style="thin">
        <color indexed="64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8" tint="0.39994506668294322"/>
      </right>
      <top style="thin">
        <color indexed="64"/>
      </top>
      <bottom style="thin">
        <color indexed="64"/>
      </bottom>
      <diagonal/>
    </border>
    <border>
      <left/>
      <right style="thin">
        <color theme="8" tint="0.39994506668294322"/>
      </right>
      <top/>
      <bottom/>
      <diagonal/>
    </border>
    <border>
      <left style="thin">
        <color theme="8" tint="0.39994506668294322"/>
      </left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10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7" borderId="0" xfId="0" applyFont="1" applyFill="1"/>
    <xf numFmtId="0" fontId="5" fillId="9" borderId="0" xfId="0" applyFont="1" applyFill="1" applyAlignment="1">
      <alignment horizontal="center"/>
    </xf>
    <xf numFmtId="2" fontId="7" fillId="9" borderId="0" xfId="0" applyNumberFormat="1" applyFont="1" applyFill="1" applyAlignment="1">
      <alignment horizontal="center"/>
    </xf>
    <xf numFmtId="2" fontId="5" fillId="9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 vertical="center" wrapText="1"/>
    </xf>
    <xf numFmtId="0" fontId="5" fillId="10" borderId="0" xfId="0" applyFont="1" applyFill="1"/>
    <xf numFmtId="0" fontId="5" fillId="4" borderId="0" xfId="0" applyFont="1" applyFill="1" applyAlignment="1">
      <alignment horizontal="center"/>
    </xf>
    <xf numFmtId="0" fontId="10" fillId="8" borderId="0" xfId="0" applyFont="1" applyFill="1" applyAlignment="1">
      <alignment vertic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/>
    <xf numFmtId="0" fontId="10" fillId="8" borderId="0" xfId="0" applyFont="1" applyFill="1" applyAlignment="1">
      <alignment horizontal="right"/>
    </xf>
    <xf numFmtId="0" fontId="5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2" borderId="0" xfId="0" applyFill="1"/>
    <xf numFmtId="0" fontId="5" fillId="2" borderId="0" xfId="0" applyFont="1" applyFill="1"/>
    <xf numFmtId="0" fontId="0" fillId="12" borderId="0" xfId="0" applyFill="1" applyAlignment="1">
      <alignment wrapText="1"/>
    </xf>
    <xf numFmtId="0" fontId="5" fillId="12" borderId="0" xfId="0" applyFont="1" applyFill="1" applyAlignment="1">
      <alignment horizontal="center"/>
    </xf>
    <xf numFmtId="0" fontId="0" fillId="13" borderId="0" xfId="0" applyFill="1"/>
    <xf numFmtId="0" fontId="5" fillId="13" borderId="0" xfId="0" applyFont="1" applyFill="1" applyAlignment="1">
      <alignment horizontal="right"/>
    </xf>
    <xf numFmtId="0" fontId="5" fillId="7" borderId="0" xfId="0" applyFont="1" applyFill="1" applyAlignment="1">
      <alignment horizontal="right"/>
    </xf>
    <xf numFmtId="0" fontId="5" fillId="7" borderId="0" xfId="0" applyFont="1" applyFill="1" applyAlignment="1">
      <alignment horizontal="center" vertical="center" wrapText="1"/>
    </xf>
    <xf numFmtId="0" fontId="1" fillId="7" borderId="0" xfId="0" applyFont="1" applyFill="1"/>
    <xf numFmtId="0" fontId="8" fillId="7" borderId="0" xfId="0" applyFont="1" applyFill="1"/>
    <xf numFmtId="0" fontId="13" fillId="7" borderId="0" xfId="0" applyFont="1" applyFill="1"/>
    <xf numFmtId="0" fontId="1" fillId="7" borderId="0" xfId="0" applyFont="1" applyFill="1" applyAlignment="1">
      <alignment horizontal="justify" vertical="center"/>
    </xf>
    <xf numFmtId="0" fontId="1" fillId="7" borderId="0" xfId="0" applyFont="1" applyFill="1" applyAlignment="1">
      <alignment horizontal="right"/>
    </xf>
    <xf numFmtId="0" fontId="0" fillId="7" borderId="0" xfId="0" applyFill="1" applyAlignment="1">
      <alignment horizontal="right"/>
    </xf>
    <xf numFmtId="0" fontId="5" fillId="10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0" fillId="10" borderId="0" xfId="0" applyFill="1" applyAlignment="1">
      <alignment horizontal="right"/>
    </xf>
    <xf numFmtId="0" fontId="1" fillId="10" borderId="0" xfId="0" applyFont="1" applyFill="1"/>
    <xf numFmtId="0" fontId="8" fillId="10" borderId="0" xfId="0" applyFont="1" applyFill="1"/>
    <xf numFmtId="0" fontId="13" fillId="10" borderId="0" xfId="0" applyFont="1" applyFill="1"/>
    <xf numFmtId="0" fontId="1" fillId="10" borderId="0" xfId="0" applyFont="1" applyFill="1" applyAlignment="1">
      <alignment horizontal="justify" vertical="center"/>
    </xf>
    <xf numFmtId="0" fontId="5" fillId="0" borderId="0" xfId="0" applyFont="1" applyAlignment="1">
      <alignment horizontal="center" vertical="center" wrapText="1"/>
    </xf>
    <xf numFmtId="0" fontId="5" fillId="9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0" borderId="7" xfId="0" applyFont="1" applyBorder="1"/>
    <xf numFmtId="0" fontId="10" fillId="14" borderId="7" xfId="0" applyFont="1" applyFill="1" applyBorder="1"/>
    <xf numFmtId="0" fontId="5" fillId="15" borderId="7" xfId="0" applyFont="1" applyFill="1" applyBorder="1"/>
    <xf numFmtId="0" fontId="5" fillId="16" borderId="7" xfId="0" applyFont="1" applyFill="1" applyBorder="1" applyAlignment="1">
      <alignment horizontal="right" vertical="center" wrapText="1"/>
    </xf>
    <xf numFmtId="0" fontId="5" fillId="16" borderId="7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2" fillId="10" borderId="7" xfId="0" applyFont="1" applyFill="1" applyBorder="1"/>
    <xf numFmtId="0" fontId="6" fillId="0" borderId="7" xfId="0" applyFont="1" applyBorder="1"/>
    <xf numFmtId="0" fontId="5" fillId="14" borderId="7" xfId="0" applyFont="1" applyFill="1" applyBorder="1"/>
    <xf numFmtId="0" fontId="5" fillId="16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right" vertical="center"/>
    </xf>
    <xf numFmtId="2" fontId="5" fillId="0" borderId="7" xfId="0" applyNumberFormat="1" applyFont="1" applyBorder="1"/>
    <xf numFmtId="2" fontId="5" fillId="2" borderId="7" xfId="0" applyNumberFormat="1" applyFont="1" applyFill="1" applyBorder="1" applyAlignment="1">
      <alignment horizontal="right" vertical="center" wrapText="1"/>
    </xf>
    <xf numFmtId="2" fontId="5" fillId="2" borderId="7" xfId="0" applyNumberFormat="1" applyFont="1" applyFill="1" applyBorder="1" applyAlignment="1">
      <alignment horizontal="right" vertical="center"/>
    </xf>
    <xf numFmtId="2" fontId="5" fillId="3" borderId="7" xfId="0" applyNumberFormat="1" applyFont="1" applyFill="1" applyBorder="1" applyAlignment="1">
      <alignment horizontal="right" vertical="center"/>
    </xf>
    <xf numFmtId="2" fontId="7" fillId="0" borderId="7" xfId="0" applyNumberFormat="1" applyFont="1" applyBorder="1"/>
    <xf numFmtId="2" fontId="7" fillId="2" borderId="7" xfId="0" applyNumberFormat="1" applyFont="1" applyFill="1" applyBorder="1" applyAlignment="1">
      <alignment horizontal="right" vertical="center" wrapText="1"/>
    </xf>
    <xf numFmtId="2" fontId="7" fillId="2" borderId="7" xfId="0" applyNumberFormat="1" applyFont="1" applyFill="1" applyBorder="1" applyAlignment="1">
      <alignment horizontal="right" vertical="center"/>
    </xf>
    <xf numFmtId="2" fontId="7" fillId="3" borderId="7" xfId="0" applyNumberFormat="1" applyFont="1" applyFill="1" applyBorder="1" applyAlignment="1">
      <alignment horizontal="right" vertical="center"/>
    </xf>
    <xf numFmtId="0" fontId="7" fillId="0" borderId="7" xfId="0" applyFont="1" applyBorder="1"/>
    <xf numFmtId="0" fontId="7" fillId="2" borderId="7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/>
    </xf>
    <xf numFmtId="0" fontId="2" fillId="10" borderId="6" xfId="0" applyFont="1" applyFill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5" fillId="10" borderId="0" xfId="0" applyFont="1" applyFill="1" applyAlignment="1">
      <alignment horizontal="center" wrapText="1"/>
    </xf>
    <xf numFmtId="0" fontId="5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6" fillId="0" borderId="0" xfId="0" applyFont="1"/>
    <xf numFmtId="0" fontId="16" fillId="2" borderId="0" xfId="0" applyFont="1" applyFill="1"/>
    <xf numFmtId="0" fontId="16" fillId="7" borderId="0" xfId="0" applyFont="1" applyFill="1" applyAlignment="1">
      <alignment horizontal="right"/>
    </xf>
    <xf numFmtId="0" fontId="16" fillId="10" borderId="0" xfId="0" applyFont="1" applyFill="1" applyAlignment="1">
      <alignment horizontal="right"/>
    </xf>
    <xf numFmtId="0" fontId="16" fillId="4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6" fillId="12" borderId="0" xfId="0" applyFont="1" applyFill="1" applyAlignment="1">
      <alignment wrapText="1"/>
    </xf>
    <xf numFmtId="0" fontId="16" fillId="13" borderId="0" xfId="0" applyFont="1" applyFill="1"/>
    <xf numFmtId="0" fontId="5" fillId="10" borderId="0" xfId="0" applyFont="1" applyFill="1" applyAlignment="1">
      <alignment vertical="center" wrapText="1"/>
    </xf>
    <xf numFmtId="0" fontId="5" fillId="11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49" fontId="5" fillId="6" borderId="6" xfId="0" applyNumberFormat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21" fillId="0" borderId="0" xfId="0" applyFont="1"/>
    <xf numFmtId="1" fontId="15" fillId="4" borderId="7" xfId="0" applyNumberFormat="1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22" fillId="4" borderId="7" xfId="0" applyFont="1" applyFill="1" applyBorder="1" applyAlignment="1">
      <alignment horizontal="center"/>
    </xf>
    <xf numFmtId="0" fontId="16" fillId="13" borderId="7" xfId="0" applyFont="1" applyFill="1" applyBorder="1" applyAlignment="1">
      <alignment horizontal="center"/>
    </xf>
    <xf numFmtId="0" fontId="16" fillId="10" borderId="0" xfId="0" applyFont="1" applyFill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49" fontId="16" fillId="6" borderId="7" xfId="0" applyNumberFormat="1" applyFont="1" applyFill="1" applyBorder="1" applyAlignment="1">
      <alignment horizontal="right"/>
    </xf>
    <xf numFmtId="1" fontId="18" fillId="4" borderId="7" xfId="0" applyNumberFormat="1" applyFont="1" applyFill="1" applyBorder="1" applyAlignment="1">
      <alignment horizontal="center"/>
    </xf>
    <xf numFmtId="1" fontId="5" fillId="4" borderId="7" xfId="0" applyNumberFormat="1" applyFont="1" applyFill="1" applyBorder="1" applyAlignment="1">
      <alignment horizontal="center"/>
    </xf>
    <xf numFmtId="1" fontId="15" fillId="4" borderId="7" xfId="0" applyNumberFormat="1" applyFont="1" applyFill="1" applyBorder="1" applyAlignment="1">
      <alignment horizontal="center" vertical="center"/>
    </xf>
    <xf numFmtId="1" fontId="23" fillId="4" borderId="7" xfId="0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2" fontId="5" fillId="4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24" fillId="13" borderId="7" xfId="0" applyFont="1" applyFill="1" applyBorder="1" applyAlignment="1">
      <alignment horizontal="center"/>
    </xf>
    <xf numFmtId="0" fontId="24" fillId="10" borderId="11" xfId="0" applyFont="1" applyFill="1" applyBorder="1" applyAlignment="1">
      <alignment horizontal="center"/>
    </xf>
    <xf numFmtId="0" fontId="24" fillId="10" borderId="3" xfId="0" applyFont="1" applyFill="1" applyBorder="1" applyAlignment="1">
      <alignment horizontal="center"/>
    </xf>
    <xf numFmtId="1" fontId="16" fillId="4" borderId="7" xfId="0" applyNumberFormat="1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2" fontId="16" fillId="13" borderId="7" xfId="0" applyNumberFormat="1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 wrapText="1"/>
    </xf>
    <xf numFmtId="2" fontId="16" fillId="4" borderId="7" xfId="0" applyNumberFormat="1" applyFont="1" applyFill="1" applyBorder="1" applyAlignment="1">
      <alignment horizontal="center"/>
    </xf>
    <xf numFmtId="2" fontId="16" fillId="10" borderId="11" xfId="0" applyNumberFormat="1" applyFont="1" applyFill="1" applyBorder="1" applyAlignment="1">
      <alignment horizontal="center"/>
    </xf>
    <xf numFmtId="2" fontId="16" fillId="10" borderId="3" xfId="0" applyNumberFormat="1" applyFont="1" applyFill="1" applyBorder="1" applyAlignment="1">
      <alignment horizontal="center"/>
    </xf>
    <xf numFmtId="2" fontId="16" fillId="5" borderId="10" xfId="0" applyNumberFormat="1" applyFont="1" applyFill="1" applyBorder="1" applyAlignment="1">
      <alignment horizontal="center"/>
    </xf>
    <xf numFmtId="2" fontId="16" fillId="5" borderId="7" xfId="0" applyNumberFormat="1" applyFont="1" applyFill="1" applyBorder="1" applyAlignment="1">
      <alignment horizontal="center"/>
    </xf>
    <xf numFmtId="2" fontId="7" fillId="4" borderId="7" xfId="0" applyNumberFormat="1" applyFont="1" applyFill="1" applyBorder="1" applyAlignment="1">
      <alignment horizontal="center" vertical="center"/>
    </xf>
    <xf numFmtId="2" fontId="25" fillId="4" borderId="7" xfId="0" applyNumberFormat="1" applyFont="1" applyFill="1" applyBorder="1" applyAlignment="1">
      <alignment horizontal="center"/>
    </xf>
    <xf numFmtId="2" fontId="25" fillId="13" borderId="7" xfId="0" applyNumberFormat="1" applyFont="1" applyFill="1" applyBorder="1" applyAlignment="1">
      <alignment horizontal="center"/>
    </xf>
    <xf numFmtId="2" fontId="25" fillId="10" borderId="11" xfId="0" applyNumberFormat="1" applyFont="1" applyFill="1" applyBorder="1" applyAlignment="1">
      <alignment horizontal="center"/>
    </xf>
    <xf numFmtId="2" fontId="25" fillId="10" borderId="3" xfId="0" applyNumberFormat="1" applyFont="1" applyFill="1" applyBorder="1" applyAlignment="1">
      <alignment horizontal="center"/>
    </xf>
    <xf numFmtId="2" fontId="25" fillId="5" borderId="10" xfId="0" applyNumberFormat="1" applyFont="1" applyFill="1" applyBorder="1" applyAlignment="1">
      <alignment horizontal="center"/>
    </xf>
    <xf numFmtId="2" fontId="25" fillId="5" borderId="7" xfId="0" applyNumberFormat="1" applyFont="1" applyFill="1" applyBorder="1" applyAlignment="1">
      <alignment horizontal="center"/>
    </xf>
    <xf numFmtId="49" fontId="25" fillId="6" borderId="7" xfId="0" applyNumberFormat="1" applyFont="1" applyFill="1" applyBorder="1" applyAlignment="1">
      <alignment horizontal="right"/>
    </xf>
    <xf numFmtId="0" fontId="25" fillId="13" borderId="7" xfId="0" applyFont="1" applyFill="1" applyBorder="1" applyAlignment="1">
      <alignment horizontal="center"/>
    </xf>
    <xf numFmtId="0" fontId="25" fillId="10" borderId="11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5" fillId="5" borderId="10" xfId="0" applyFont="1" applyFill="1" applyBorder="1" applyAlignment="1">
      <alignment horizontal="center"/>
    </xf>
    <xf numFmtId="0" fontId="25" fillId="5" borderId="7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right" vertical="center"/>
    </xf>
    <xf numFmtId="2" fontId="2" fillId="4" borderId="6" xfId="0" applyNumberFormat="1" applyFon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/>
    </xf>
    <xf numFmtId="0" fontId="2" fillId="10" borderId="0" xfId="0" applyFont="1" applyFill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49" fontId="0" fillId="6" borderId="6" xfId="0" applyNumberForma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right"/>
    </xf>
    <xf numFmtId="0" fontId="27" fillId="7" borderId="7" xfId="0" applyFont="1" applyFill="1" applyBorder="1" applyAlignment="1">
      <alignment horizontal="right"/>
    </xf>
    <xf numFmtId="0" fontId="2" fillId="7" borderId="7" xfId="0" applyFont="1" applyFill="1" applyBorder="1" applyAlignment="1">
      <alignment horizontal="right" vertical="center"/>
    </xf>
    <xf numFmtId="0" fontId="28" fillId="7" borderId="7" xfId="0" applyFont="1" applyFill="1" applyBorder="1" applyAlignment="1">
      <alignment horizontal="right" vertical="center"/>
    </xf>
    <xf numFmtId="0" fontId="29" fillId="7" borderId="7" xfId="0" applyFont="1" applyFill="1" applyBorder="1" applyAlignment="1">
      <alignment horizontal="right"/>
    </xf>
    <xf numFmtId="0" fontId="30" fillId="7" borderId="7" xfId="0" applyFont="1" applyFill="1" applyBorder="1" applyAlignment="1">
      <alignment horizontal="right"/>
    </xf>
    <xf numFmtId="0" fontId="31" fillId="7" borderId="7" xfId="0" applyFont="1" applyFill="1" applyBorder="1" applyAlignment="1">
      <alignment horizontal="right"/>
    </xf>
    <xf numFmtId="0" fontId="32" fillId="7" borderId="7" xfId="0" applyFont="1" applyFill="1" applyBorder="1" applyAlignment="1">
      <alignment horizontal="right"/>
    </xf>
    <xf numFmtId="2" fontId="2" fillId="7" borderId="7" xfId="0" applyNumberFormat="1" applyFont="1" applyFill="1" applyBorder="1" applyAlignment="1">
      <alignment horizontal="right" vertical="center"/>
    </xf>
    <xf numFmtId="2" fontId="14" fillId="7" borderId="7" xfId="0" applyNumberFormat="1" applyFont="1" applyFill="1" applyBorder="1" applyAlignment="1">
      <alignment horizontal="right" vertical="center"/>
    </xf>
    <xf numFmtId="0" fontId="14" fillId="7" borderId="7" xfId="0" applyFont="1" applyFill="1" applyBorder="1" applyAlignment="1">
      <alignment horizontal="right" vertical="center"/>
    </xf>
    <xf numFmtId="0" fontId="2" fillId="7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right" vertical="center" wrapText="1"/>
    </xf>
    <xf numFmtId="0" fontId="17" fillId="2" borderId="7" xfId="0" applyFont="1" applyFill="1" applyBorder="1" applyAlignment="1">
      <alignment horizontal="right" vertical="center"/>
    </xf>
    <xf numFmtId="0" fontId="28" fillId="10" borderId="7" xfId="0" applyFont="1" applyFill="1" applyBorder="1"/>
    <xf numFmtId="1" fontId="17" fillId="4" borderId="7" xfId="0" applyNumberFormat="1" applyFont="1" applyFill="1" applyBorder="1" applyAlignment="1">
      <alignment horizontal="center" vertical="center"/>
    </xf>
    <xf numFmtId="0" fontId="36" fillId="10" borderId="3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7" xfId="0" applyFont="1" applyFill="1" applyBorder="1" applyAlignment="1">
      <alignment horizontal="center"/>
    </xf>
    <xf numFmtId="49" fontId="36" fillId="6" borderId="7" xfId="0" applyNumberFormat="1" applyFont="1" applyFill="1" applyBorder="1" applyAlignment="1">
      <alignment horizontal="right"/>
    </xf>
    <xf numFmtId="0" fontId="36" fillId="0" borderId="0" xfId="0" applyFont="1"/>
    <xf numFmtId="0" fontId="2" fillId="0" borderId="6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49" fontId="22" fillId="4" borderId="7" xfId="0" applyNumberFormat="1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E6E6E6"/>
      <color rgb="FFFAFAFA"/>
      <color rgb="FFF5F5F5"/>
      <color rgb="FFF8F8F8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9170-C8A3-4FA1-B3C2-7261C66B3191}">
  <dimension ref="A1:AE377"/>
  <sheetViews>
    <sheetView showGridLines="0" zoomScale="115" zoomScaleNormal="115" workbookViewId="0">
      <pane ySplit="3" topLeftCell="A4" activePane="bottomLeft" state="frozen"/>
      <selection pane="bottomLeft" activeCell="K4" sqref="K4"/>
    </sheetView>
  </sheetViews>
  <sheetFormatPr defaultRowHeight="15.75"/>
  <cols>
    <col min="1" max="1" width="9.140625" style="47" customWidth="1"/>
    <col min="2" max="2" width="67" style="47" hidden="1" customWidth="1"/>
    <col min="3" max="3" width="50" style="47" customWidth="1"/>
    <col min="4" max="4" width="11.85546875" style="57" customWidth="1"/>
    <col min="5" max="5" width="7.140625" style="58" customWidth="1"/>
    <col min="6" max="6" width="16" style="52" customWidth="1"/>
    <col min="7" max="7" width="15.140625" style="177" customWidth="1"/>
    <col min="8" max="8" width="11" style="53" customWidth="1"/>
    <col min="9" max="9" width="5.85546875" style="134" customWidth="1"/>
    <col min="10" max="10" width="5.85546875" style="121" customWidth="1"/>
    <col min="11" max="11" width="7.85546875" style="121" customWidth="1"/>
    <col min="12" max="12" width="8.28515625" style="121" customWidth="1"/>
    <col min="13" max="13" width="12" style="121" customWidth="1"/>
    <col min="14" max="14" width="6.7109375" style="121" customWidth="1"/>
    <col min="15" max="15" width="8.42578125" style="121" customWidth="1"/>
    <col min="16" max="16" width="8.140625" style="121" customWidth="1"/>
    <col min="17" max="17" width="9.140625" style="121" customWidth="1"/>
    <col min="18" max="18" width="8" style="123" customWidth="1"/>
    <col min="19" max="19" width="6.28515625" style="123" customWidth="1"/>
    <col min="20" max="20" width="6.7109375" style="123" customWidth="1"/>
    <col min="21" max="21" width="9" style="123" customWidth="1"/>
    <col min="22" max="22" width="7.28515625" style="123" customWidth="1"/>
    <col min="23" max="23" width="6.140625" style="123" customWidth="1"/>
    <col min="24" max="24" width="14.28515625" style="136" customWidth="1"/>
    <col min="25" max="25" width="14.28515625" style="137" customWidth="1"/>
    <col min="26" max="26" width="9.5703125" style="126" customWidth="1"/>
    <col min="27" max="27" width="10.42578125" style="127" customWidth="1"/>
    <col min="28" max="28" width="10.5703125" style="127" customWidth="1"/>
    <col min="29" max="29" width="10.28515625" style="127" customWidth="1"/>
    <col min="30" max="30" width="12.140625" style="128" customWidth="1"/>
    <col min="31" max="16384" width="9.140625" style="100"/>
  </cols>
  <sheetData>
    <row r="1" spans="1:30" s="119" customFormat="1" ht="30" customHeight="1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</row>
    <row r="2" spans="1:30" s="90" customFormat="1" ht="45" customHeight="1">
      <c r="A2" s="71" t="s">
        <v>1</v>
      </c>
      <c r="B2" s="72" t="s">
        <v>2</v>
      </c>
      <c r="C2" s="73" t="s">
        <v>3</v>
      </c>
      <c r="D2" s="74" t="s">
        <v>4</v>
      </c>
      <c r="E2" s="74" t="s">
        <v>5</v>
      </c>
      <c r="F2" s="75" t="s">
        <v>6</v>
      </c>
      <c r="G2" s="186" t="s">
        <v>7</v>
      </c>
      <c r="H2" s="76" t="s">
        <v>8</v>
      </c>
      <c r="I2" s="203" t="s">
        <v>9</v>
      </c>
      <c r="J2" s="204"/>
      <c r="K2" s="204"/>
      <c r="L2" s="204"/>
      <c r="M2" s="205"/>
      <c r="N2" s="203" t="s">
        <v>10</v>
      </c>
      <c r="O2" s="204"/>
      <c r="P2" s="204"/>
      <c r="Q2" s="205"/>
      <c r="R2" s="206" t="s">
        <v>11</v>
      </c>
      <c r="S2" s="206"/>
      <c r="T2" s="206"/>
      <c r="U2" s="206"/>
      <c r="V2" s="206"/>
      <c r="W2" s="199"/>
      <c r="X2" s="117" t="s">
        <v>12</v>
      </c>
      <c r="Y2" s="118" t="s">
        <v>13</v>
      </c>
      <c r="Z2" s="207" t="s">
        <v>14</v>
      </c>
      <c r="AA2" s="207"/>
      <c r="AB2" s="207"/>
      <c r="AC2" s="207"/>
      <c r="AD2" s="115" t="s">
        <v>15</v>
      </c>
    </row>
    <row r="3" spans="1:30" customFormat="1" ht="75">
      <c r="A3" s="196" t="s">
        <v>16</v>
      </c>
      <c r="B3" s="164"/>
      <c r="C3" s="165" t="s">
        <v>17</v>
      </c>
      <c r="D3" s="166"/>
      <c r="E3" s="167"/>
      <c r="F3" s="168"/>
      <c r="G3" s="169"/>
      <c r="H3" s="78"/>
      <c r="I3" s="170" t="s">
        <v>18</v>
      </c>
      <c r="J3" s="79" t="s">
        <v>19</v>
      </c>
      <c r="K3" s="79" t="s">
        <v>20</v>
      </c>
      <c r="L3" s="79" t="s">
        <v>21</v>
      </c>
      <c r="M3" s="80" t="s">
        <v>22</v>
      </c>
      <c r="N3" s="80" t="s">
        <v>18</v>
      </c>
      <c r="O3" s="80" t="s">
        <v>19</v>
      </c>
      <c r="P3" s="80" t="s">
        <v>20</v>
      </c>
      <c r="Q3" s="80" t="s">
        <v>21</v>
      </c>
      <c r="R3" s="77" t="s">
        <v>23</v>
      </c>
      <c r="S3" s="77" t="s">
        <v>24</v>
      </c>
      <c r="T3" s="77" t="s">
        <v>25</v>
      </c>
      <c r="U3" s="81" t="s">
        <v>26</v>
      </c>
      <c r="V3" s="77" t="s">
        <v>27</v>
      </c>
      <c r="W3" s="171" t="s">
        <v>28</v>
      </c>
      <c r="X3" s="172" t="s">
        <v>29</v>
      </c>
      <c r="Y3" s="173" t="s">
        <v>29</v>
      </c>
      <c r="Z3" s="116" t="s">
        <v>30</v>
      </c>
      <c r="AA3" s="82" t="s">
        <v>31</v>
      </c>
      <c r="AB3" s="82" t="s">
        <v>32</v>
      </c>
      <c r="AC3" s="82" t="s">
        <v>33</v>
      </c>
      <c r="AD3" s="174"/>
    </row>
    <row r="4" spans="1:30" ht="18">
      <c r="A4" s="47" t="s">
        <v>34</v>
      </c>
      <c r="B4" s="48" t="s">
        <v>35</v>
      </c>
      <c r="C4" s="49"/>
      <c r="D4" s="50">
        <v>2</v>
      </c>
      <c r="E4" s="51">
        <v>1</v>
      </c>
      <c r="F4" s="52" t="s">
        <v>36</v>
      </c>
      <c r="G4" s="175" t="s">
        <v>37</v>
      </c>
      <c r="I4" s="120"/>
      <c r="K4" s="121" t="s">
        <v>38</v>
      </c>
      <c r="M4" s="121" t="s">
        <v>39</v>
      </c>
      <c r="N4" s="122" t="s">
        <v>40</v>
      </c>
      <c r="O4" s="122"/>
      <c r="P4" s="198" t="s">
        <v>38</v>
      </c>
      <c r="Q4" s="122" t="s">
        <v>41</v>
      </c>
      <c r="U4" s="123">
        <v>1</v>
      </c>
      <c r="V4" s="123">
        <v>1</v>
      </c>
      <c r="W4" s="123">
        <f>SUM(R4:V4)</f>
        <v>2</v>
      </c>
      <c r="X4" s="124">
        <v>1</v>
      </c>
      <c r="Y4" s="125" t="s">
        <v>42</v>
      </c>
      <c r="AD4" s="128" t="s">
        <v>43</v>
      </c>
    </row>
    <row r="5" spans="1:30" ht="18">
      <c r="A5" s="47" t="s">
        <v>44</v>
      </c>
      <c r="B5" s="48" t="s">
        <v>45</v>
      </c>
      <c r="C5" s="49"/>
      <c r="D5" s="50">
        <v>2</v>
      </c>
      <c r="E5" s="51">
        <v>3</v>
      </c>
      <c r="F5" s="52" t="s">
        <v>36</v>
      </c>
      <c r="G5" s="175" t="s">
        <v>46</v>
      </c>
      <c r="I5" s="120"/>
      <c r="K5" s="121" t="s">
        <v>47</v>
      </c>
      <c r="N5" s="122" t="s">
        <v>40</v>
      </c>
      <c r="O5" s="122"/>
      <c r="P5" s="198" t="s">
        <v>47</v>
      </c>
      <c r="Q5" s="122" t="s">
        <v>41</v>
      </c>
      <c r="W5" s="123">
        <f t="shared" ref="W5:W68" si="0">SUM(R5:V5)</f>
        <v>0</v>
      </c>
      <c r="X5" s="124">
        <v>2</v>
      </c>
      <c r="Y5" s="125">
        <v>3</v>
      </c>
      <c r="AD5" s="128" t="s">
        <v>48</v>
      </c>
    </row>
    <row r="6" spans="1:30" ht="18">
      <c r="A6" s="47" t="s">
        <v>49</v>
      </c>
      <c r="B6" s="48" t="s">
        <v>50</v>
      </c>
      <c r="C6" s="49" t="s">
        <v>51</v>
      </c>
      <c r="D6" s="50">
        <v>3</v>
      </c>
      <c r="E6" s="51">
        <v>1</v>
      </c>
      <c r="F6" s="52" t="s">
        <v>36</v>
      </c>
      <c r="G6" s="175" t="s">
        <v>37</v>
      </c>
      <c r="H6" s="53" t="s">
        <v>52</v>
      </c>
      <c r="I6" s="120"/>
      <c r="K6" s="121" t="s">
        <v>38</v>
      </c>
      <c r="N6" s="122" t="s">
        <v>53</v>
      </c>
      <c r="O6" s="122"/>
      <c r="P6" s="198" t="s">
        <v>38</v>
      </c>
      <c r="Q6" s="122"/>
      <c r="U6" s="123">
        <v>1</v>
      </c>
      <c r="V6" s="123">
        <v>1</v>
      </c>
      <c r="W6" s="123">
        <f t="shared" si="0"/>
        <v>2</v>
      </c>
      <c r="X6" s="124">
        <v>1</v>
      </c>
      <c r="Y6" s="125">
        <v>5</v>
      </c>
      <c r="AD6" s="128" t="s">
        <v>54</v>
      </c>
    </row>
    <row r="7" spans="1:30" ht="18">
      <c r="A7" s="47" t="s">
        <v>55</v>
      </c>
      <c r="B7" s="48" t="s">
        <v>56</v>
      </c>
      <c r="C7" s="49"/>
      <c r="D7" s="50">
        <v>3</v>
      </c>
      <c r="E7" s="51">
        <v>3</v>
      </c>
      <c r="F7" s="52" t="s">
        <v>36</v>
      </c>
      <c r="G7" s="175" t="s">
        <v>46</v>
      </c>
      <c r="I7" s="120"/>
      <c r="K7" s="121" t="s">
        <v>47</v>
      </c>
      <c r="N7" s="122"/>
      <c r="O7" s="122" t="s">
        <v>57</v>
      </c>
      <c r="P7" s="198" t="s">
        <v>47</v>
      </c>
      <c r="Q7" s="122"/>
      <c r="W7" s="123">
        <f t="shared" si="0"/>
        <v>0</v>
      </c>
      <c r="X7" s="124">
        <v>2</v>
      </c>
      <c r="Y7" s="125" t="s">
        <v>58</v>
      </c>
      <c r="Z7" s="126" t="s">
        <v>59</v>
      </c>
      <c r="AD7" s="128">
        <v>6</v>
      </c>
    </row>
    <row r="8" spans="1:30" ht="18">
      <c r="A8" s="47" t="s">
        <v>60</v>
      </c>
      <c r="B8" s="48" t="s">
        <v>61</v>
      </c>
      <c r="C8" s="49"/>
      <c r="D8" s="50">
        <v>4</v>
      </c>
      <c r="E8" s="51">
        <v>1</v>
      </c>
      <c r="F8" s="52" t="s">
        <v>62</v>
      </c>
      <c r="G8" s="175" t="s">
        <v>63</v>
      </c>
      <c r="I8" s="120"/>
      <c r="K8" s="121" t="s">
        <v>38</v>
      </c>
      <c r="N8" s="122" t="s">
        <v>40</v>
      </c>
      <c r="O8" s="122"/>
      <c r="P8" s="198" t="s">
        <v>38</v>
      </c>
      <c r="Q8" s="122" t="s">
        <v>41</v>
      </c>
      <c r="W8" s="123">
        <f t="shared" si="0"/>
        <v>0</v>
      </c>
      <c r="X8" s="124">
        <v>3</v>
      </c>
      <c r="Y8" s="125">
        <v>2</v>
      </c>
      <c r="AD8" s="128" t="s">
        <v>64</v>
      </c>
    </row>
    <row r="9" spans="1:30" ht="18">
      <c r="A9" s="47" t="s">
        <v>65</v>
      </c>
      <c r="B9" s="48" t="s">
        <v>66</v>
      </c>
      <c r="C9" s="49"/>
      <c r="D9" s="50">
        <v>4</v>
      </c>
      <c r="E9" s="51">
        <v>2</v>
      </c>
      <c r="F9" s="52" t="s">
        <v>62</v>
      </c>
      <c r="G9" s="175" t="s">
        <v>67</v>
      </c>
      <c r="I9" s="120"/>
      <c r="M9" s="121" t="s">
        <v>39</v>
      </c>
      <c r="N9" s="122"/>
      <c r="O9" s="122"/>
      <c r="P9" s="198" t="s">
        <v>47</v>
      </c>
      <c r="Q9" s="122"/>
      <c r="R9" s="123">
        <v>1</v>
      </c>
      <c r="S9" s="123">
        <v>1</v>
      </c>
      <c r="U9" s="123">
        <v>1</v>
      </c>
      <c r="W9" s="123">
        <f t="shared" si="0"/>
        <v>3</v>
      </c>
      <c r="X9" s="124">
        <v>1</v>
      </c>
      <c r="Y9" s="125">
        <v>3</v>
      </c>
      <c r="AD9" s="128" t="s">
        <v>68</v>
      </c>
    </row>
    <row r="10" spans="1:30" ht="18">
      <c r="A10" s="47" t="s">
        <v>69</v>
      </c>
      <c r="B10" s="48" t="s">
        <v>70</v>
      </c>
      <c r="C10" s="49"/>
      <c r="D10" s="50">
        <v>4</v>
      </c>
      <c r="E10" s="51">
        <v>3</v>
      </c>
      <c r="F10" s="52" t="s">
        <v>62</v>
      </c>
      <c r="G10" s="175" t="s">
        <v>67</v>
      </c>
      <c r="I10" s="120"/>
      <c r="K10" s="121" t="s">
        <v>47</v>
      </c>
      <c r="N10" s="122" t="s">
        <v>71</v>
      </c>
      <c r="O10" s="122"/>
      <c r="P10" s="198" t="s">
        <v>47</v>
      </c>
      <c r="Q10" s="122" t="s">
        <v>41</v>
      </c>
      <c r="R10" s="123">
        <v>1</v>
      </c>
      <c r="S10" s="123">
        <v>1</v>
      </c>
      <c r="V10" s="123">
        <v>1</v>
      </c>
      <c r="W10" s="123">
        <f t="shared" si="0"/>
        <v>3</v>
      </c>
      <c r="X10" s="124">
        <v>2</v>
      </c>
      <c r="Y10" s="125">
        <v>1</v>
      </c>
      <c r="AD10" s="128" t="s">
        <v>72</v>
      </c>
    </row>
    <row r="11" spans="1:30" ht="18">
      <c r="A11" s="47" t="s">
        <v>73</v>
      </c>
      <c r="B11" s="48" t="s">
        <v>74</v>
      </c>
      <c r="C11" s="49"/>
      <c r="D11" s="50">
        <v>5</v>
      </c>
      <c r="E11" s="51">
        <v>1</v>
      </c>
      <c r="F11" s="52" t="s">
        <v>36</v>
      </c>
      <c r="G11" s="175" t="s">
        <v>75</v>
      </c>
      <c r="I11" s="120"/>
      <c r="K11" s="121" t="s">
        <v>47</v>
      </c>
      <c r="M11" s="121" t="s">
        <v>39</v>
      </c>
      <c r="N11" s="122" t="s">
        <v>40</v>
      </c>
      <c r="O11" s="122" t="s">
        <v>76</v>
      </c>
      <c r="P11" s="198" t="s">
        <v>47</v>
      </c>
      <c r="Q11" s="122"/>
      <c r="S11" s="123">
        <v>1</v>
      </c>
      <c r="U11" s="123">
        <v>1</v>
      </c>
      <c r="V11" s="123">
        <v>1</v>
      </c>
      <c r="W11" s="123">
        <f t="shared" si="0"/>
        <v>3</v>
      </c>
      <c r="X11" s="124">
        <v>2</v>
      </c>
      <c r="Y11" s="125" t="s">
        <v>77</v>
      </c>
      <c r="AD11" s="128" t="s">
        <v>78</v>
      </c>
    </row>
    <row r="12" spans="1:30" ht="18">
      <c r="A12" s="47" t="s">
        <v>79</v>
      </c>
      <c r="B12" s="48" t="s">
        <v>80</v>
      </c>
      <c r="C12" s="49"/>
      <c r="D12" s="50">
        <v>5</v>
      </c>
      <c r="E12" s="51">
        <v>3</v>
      </c>
      <c r="F12" s="52" t="s">
        <v>36</v>
      </c>
      <c r="G12" s="176" t="s">
        <v>81</v>
      </c>
      <c r="I12" s="129"/>
      <c r="K12" s="121" t="s">
        <v>38</v>
      </c>
      <c r="N12" s="122" t="s">
        <v>71</v>
      </c>
      <c r="O12" s="122" t="s">
        <v>76</v>
      </c>
      <c r="P12" s="198" t="s">
        <v>38</v>
      </c>
      <c r="Q12" s="122" t="s">
        <v>41</v>
      </c>
      <c r="R12" s="123">
        <v>1</v>
      </c>
      <c r="U12" s="123">
        <v>1</v>
      </c>
      <c r="W12" s="123">
        <f t="shared" si="0"/>
        <v>2</v>
      </c>
      <c r="X12" s="124">
        <v>2</v>
      </c>
      <c r="Y12" s="125">
        <v>2</v>
      </c>
      <c r="AD12" s="128" t="s">
        <v>82</v>
      </c>
    </row>
    <row r="13" spans="1:30" ht="18">
      <c r="A13" s="47" t="s">
        <v>83</v>
      </c>
      <c r="B13" s="48" t="s">
        <v>84</v>
      </c>
      <c r="C13" s="49"/>
      <c r="D13" s="50">
        <v>5</v>
      </c>
      <c r="E13" s="51">
        <v>5</v>
      </c>
      <c r="F13" s="52" t="s">
        <v>36</v>
      </c>
      <c r="G13" s="175" t="s">
        <v>85</v>
      </c>
      <c r="I13" s="120"/>
      <c r="K13" s="121" t="s">
        <v>47</v>
      </c>
      <c r="N13" s="122"/>
      <c r="O13" s="122"/>
      <c r="P13" s="198" t="s">
        <v>47</v>
      </c>
      <c r="Q13" s="122" t="s">
        <v>41</v>
      </c>
      <c r="R13" s="123">
        <v>1</v>
      </c>
      <c r="S13" s="123">
        <v>1</v>
      </c>
      <c r="T13" s="123">
        <v>1</v>
      </c>
      <c r="V13" s="123">
        <v>1</v>
      </c>
      <c r="W13" s="123">
        <f t="shared" si="0"/>
        <v>4</v>
      </c>
      <c r="X13" s="124">
        <v>2</v>
      </c>
      <c r="Y13" s="125">
        <v>1</v>
      </c>
      <c r="AD13" s="128" t="s">
        <v>72</v>
      </c>
    </row>
    <row r="14" spans="1:30">
      <c r="A14" s="47" t="s">
        <v>86</v>
      </c>
      <c r="B14" s="48" t="s">
        <v>87</v>
      </c>
      <c r="C14" s="49"/>
      <c r="D14" s="50">
        <v>6</v>
      </c>
      <c r="E14" s="51">
        <v>1</v>
      </c>
      <c r="F14" s="52" t="s">
        <v>62</v>
      </c>
      <c r="G14" s="175" t="s">
        <v>37</v>
      </c>
      <c r="I14" s="130"/>
      <c r="K14" s="121" t="s">
        <v>47</v>
      </c>
      <c r="M14" s="121" t="s">
        <v>39</v>
      </c>
      <c r="N14" s="122"/>
      <c r="O14" s="122" t="s">
        <v>76</v>
      </c>
      <c r="P14" s="198" t="s">
        <v>47</v>
      </c>
      <c r="Q14" s="122" t="s">
        <v>41</v>
      </c>
      <c r="U14" s="123">
        <v>1</v>
      </c>
      <c r="V14" s="123">
        <v>1</v>
      </c>
      <c r="W14" s="123">
        <f t="shared" si="0"/>
        <v>2</v>
      </c>
      <c r="X14" s="124">
        <v>1</v>
      </c>
      <c r="Y14" s="125" t="s">
        <v>88</v>
      </c>
      <c r="AD14" s="128" t="s">
        <v>89</v>
      </c>
    </row>
    <row r="15" spans="1:30">
      <c r="A15" s="47" t="s">
        <v>90</v>
      </c>
      <c r="B15" s="48" t="s">
        <v>91</v>
      </c>
      <c r="C15" s="49"/>
      <c r="D15" s="50">
        <v>7</v>
      </c>
      <c r="E15" s="51">
        <v>1</v>
      </c>
      <c r="F15" s="52" t="s">
        <v>62</v>
      </c>
      <c r="G15" s="175" t="s">
        <v>92</v>
      </c>
      <c r="I15" s="130"/>
      <c r="J15" s="121" t="s">
        <v>76</v>
      </c>
      <c r="N15" s="122"/>
      <c r="O15" s="122" t="s">
        <v>76</v>
      </c>
      <c r="P15" s="198" t="s">
        <v>47</v>
      </c>
      <c r="Q15" s="122" t="s">
        <v>41</v>
      </c>
      <c r="V15" s="123">
        <v>1</v>
      </c>
      <c r="W15" s="123">
        <f t="shared" si="0"/>
        <v>1</v>
      </c>
      <c r="X15" s="124">
        <v>2</v>
      </c>
      <c r="Y15" s="125">
        <v>3</v>
      </c>
      <c r="AD15" s="128" t="s">
        <v>93</v>
      </c>
    </row>
    <row r="16" spans="1:30">
      <c r="A16" s="47" t="s">
        <v>94</v>
      </c>
      <c r="B16" s="48" t="s">
        <v>95</v>
      </c>
      <c r="C16" s="49"/>
      <c r="D16" s="50">
        <v>7</v>
      </c>
      <c r="E16" s="51">
        <v>2</v>
      </c>
      <c r="F16" s="52" t="s">
        <v>62</v>
      </c>
      <c r="G16" s="175" t="s">
        <v>67</v>
      </c>
      <c r="I16" s="130"/>
      <c r="M16" s="121" t="s">
        <v>39</v>
      </c>
      <c r="N16" s="122"/>
      <c r="O16" s="122"/>
      <c r="P16" s="198" t="s">
        <v>96</v>
      </c>
      <c r="Q16" s="122"/>
      <c r="R16" s="123">
        <v>1</v>
      </c>
      <c r="U16" s="123">
        <v>1</v>
      </c>
      <c r="W16" s="123">
        <f t="shared" si="0"/>
        <v>2</v>
      </c>
      <c r="X16" s="124">
        <v>1</v>
      </c>
      <c r="Y16" s="125">
        <v>1</v>
      </c>
      <c r="AD16" s="128">
        <v>1</v>
      </c>
    </row>
    <row r="17" spans="1:30">
      <c r="A17" s="47" t="s">
        <v>97</v>
      </c>
      <c r="B17" s="48" t="s">
        <v>98</v>
      </c>
      <c r="C17" s="49"/>
      <c r="D17" s="50">
        <v>7</v>
      </c>
      <c r="E17" s="51">
        <v>3</v>
      </c>
      <c r="F17" s="52" t="s">
        <v>62</v>
      </c>
      <c r="G17" s="175" t="s">
        <v>85</v>
      </c>
      <c r="I17" s="130"/>
      <c r="M17" s="121" t="s">
        <v>39</v>
      </c>
      <c r="N17" s="122"/>
      <c r="O17" s="122" t="s">
        <v>76</v>
      </c>
      <c r="P17" s="198" t="s">
        <v>38</v>
      </c>
      <c r="Q17" s="122" t="s">
        <v>41</v>
      </c>
      <c r="R17" s="123">
        <v>1</v>
      </c>
      <c r="U17" s="123">
        <v>1</v>
      </c>
      <c r="V17" s="123">
        <v>1</v>
      </c>
      <c r="W17" s="123">
        <f t="shared" si="0"/>
        <v>3</v>
      </c>
      <c r="X17" s="124">
        <v>2</v>
      </c>
      <c r="Y17" s="125">
        <v>2</v>
      </c>
      <c r="AD17" s="128" t="s">
        <v>99</v>
      </c>
    </row>
    <row r="18" spans="1:30">
      <c r="A18" s="47" t="s">
        <v>100</v>
      </c>
      <c r="B18" s="48" t="s">
        <v>101</v>
      </c>
      <c r="C18" s="49"/>
      <c r="D18" s="50">
        <v>7</v>
      </c>
      <c r="E18" s="51">
        <v>4</v>
      </c>
      <c r="F18" s="52" t="s">
        <v>62</v>
      </c>
      <c r="G18" s="175" t="s">
        <v>37</v>
      </c>
      <c r="I18" s="130"/>
      <c r="M18" s="121" t="s">
        <v>39</v>
      </c>
      <c r="N18" s="122" t="s">
        <v>40</v>
      </c>
      <c r="O18" s="122" t="s">
        <v>76</v>
      </c>
      <c r="P18" s="198" t="s">
        <v>38</v>
      </c>
      <c r="Q18" s="122"/>
      <c r="R18" s="123">
        <v>1</v>
      </c>
      <c r="U18" s="123">
        <v>1</v>
      </c>
      <c r="V18" s="123">
        <v>1</v>
      </c>
      <c r="W18" s="123">
        <f t="shared" si="0"/>
        <v>3</v>
      </c>
      <c r="X18" s="124">
        <v>1</v>
      </c>
      <c r="Y18" s="125">
        <v>3</v>
      </c>
      <c r="AD18" s="128" t="s">
        <v>102</v>
      </c>
    </row>
    <row r="19" spans="1:30">
      <c r="A19" s="47" t="s">
        <v>103</v>
      </c>
      <c r="B19" s="48" t="s">
        <v>104</v>
      </c>
      <c r="C19" s="49"/>
      <c r="D19" s="50">
        <v>8</v>
      </c>
      <c r="E19" s="51">
        <v>1</v>
      </c>
      <c r="F19" s="52" t="s">
        <v>62</v>
      </c>
      <c r="G19" s="175" t="s">
        <v>85</v>
      </c>
      <c r="I19" s="130"/>
      <c r="K19" s="121" t="s">
        <v>47</v>
      </c>
      <c r="N19" s="122"/>
      <c r="O19" s="122"/>
      <c r="P19" s="198" t="s">
        <v>47</v>
      </c>
      <c r="Q19" s="122" t="s">
        <v>41</v>
      </c>
      <c r="R19" s="123">
        <v>1</v>
      </c>
      <c r="W19" s="123">
        <f t="shared" si="0"/>
        <v>1</v>
      </c>
      <c r="X19" s="124">
        <v>2</v>
      </c>
      <c r="Y19" s="125">
        <v>5</v>
      </c>
      <c r="AD19" s="128" t="s">
        <v>105</v>
      </c>
    </row>
    <row r="20" spans="1:30" ht="16.5">
      <c r="A20" s="54" t="s">
        <v>106</v>
      </c>
      <c r="B20" s="48" t="s">
        <v>107</v>
      </c>
      <c r="C20" s="49"/>
      <c r="D20" s="50">
        <v>8</v>
      </c>
      <c r="E20" s="51">
        <v>2</v>
      </c>
      <c r="F20" s="52" t="s">
        <v>62</v>
      </c>
      <c r="G20" s="175" t="s">
        <v>108</v>
      </c>
      <c r="I20" s="130"/>
      <c r="K20" s="121" t="s">
        <v>47</v>
      </c>
      <c r="N20" s="122" t="s">
        <v>40</v>
      </c>
      <c r="O20" s="122"/>
      <c r="P20" s="198" t="s">
        <v>47</v>
      </c>
      <c r="Q20" s="122"/>
      <c r="U20" s="123">
        <v>1</v>
      </c>
      <c r="V20" s="123">
        <v>1</v>
      </c>
      <c r="W20" s="123">
        <f t="shared" si="0"/>
        <v>2</v>
      </c>
      <c r="X20" s="124">
        <v>1</v>
      </c>
      <c r="Y20" s="125">
        <v>1</v>
      </c>
      <c r="AD20" s="128" t="s">
        <v>43</v>
      </c>
    </row>
    <row r="21" spans="1:30">
      <c r="A21" s="47" t="s">
        <v>109</v>
      </c>
      <c r="B21" s="48" t="s">
        <v>110</v>
      </c>
      <c r="C21" s="49"/>
      <c r="D21" s="50">
        <v>8</v>
      </c>
      <c r="E21" s="51">
        <v>3</v>
      </c>
      <c r="F21" s="52" t="s">
        <v>62</v>
      </c>
      <c r="G21" s="175" t="s">
        <v>111</v>
      </c>
      <c r="I21" s="130"/>
      <c r="K21" s="121" t="s">
        <v>38</v>
      </c>
      <c r="N21" s="122"/>
      <c r="O21" s="122" t="s">
        <v>76</v>
      </c>
      <c r="P21" s="198" t="s">
        <v>38</v>
      </c>
      <c r="Q21" s="122" t="s">
        <v>112</v>
      </c>
      <c r="R21" s="123">
        <v>1</v>
      </c>
      <c r="U21" s="123">
        <v>1</v>
      </c>
      <c r="W21" s="123">
        <f t="shared" si="0"/>
        <v>2</v>
      </c>
      <c r="X21" s="124">
        <v>2</v>
      </c>
      <c r="Y21" s="125">
        <v>2</v>
      </c>
      <c r="AA21" s="127" t="s">
        <v>113</v>
      </c>
      <c r="AD21" s="128" t="s">
        <v>114</v>
      </c>
    </row>
    <row r="22" spans="1:30">
      <c r="A22" s="47" t="s">
        <v>115</v>
      </c>
      <c r="B22" s="48" t="s">
        <v>116</v>
      </c>
      <c r="C22" s="49"/>
      <c r="D22" s="50">
        <v>8</v>
      </c>
      <c r="E22" s="51">
        <v>4</v>
      </c>
      <c r="F22" s="52" t="s">
        <v>62</v>
      </c>
      <c r="G22" s="175" t="s">
        <v>85</v>
      </c>
      <c r="I22" s="130"/>
      <c r="K22" s="121" t="s">
        <v>47</v>
      </c>
      <c r="N22" s="122"/>
      <c r="O22" s="122" t="s">
        <v>57</v>
      </c>
      <c r="P22" s="198" t="s">
        <v>47</v>
      </c>
      <c r="Q22" s="122" t="s">
        <v>41</v>
      </c>
      <c r="R22" s="123">
        <v>1</v>
      </c>
      <c r="V22" s="123">
        <v>1</v>
      </c>
      <c r="W22" s="123">
        <f t="shared" si="0"/>
        <v>2</v>
      </c>
      <c r="X22" s="124">
        <v>1</v>
      </c>
      <c r="Y22" s="125">
        <v>3</v>
      </c>
      <c r="Z22" s="126" t="s">
        <v>59</v>
      </c>
      <c r="AD22" s="128">
        <v>2</v>
      </c>
    </row>
    <row r="23" spans="1:30">
      <c r="A23" s="47" t="s">
        <v>117</v>
      </c>
      <c r="B23" s="48" t="s">
        <v>118</v>
      </c>
      <c r="C23" s="49"/>
      <c r="D23" s="50">
        <v>8</v>
      </c>
      <c r="E23" s="51">
        <v>5</v>
      </c>
      <c r="F23" s="52" t="s">
        <v>62</v>
      </c>
      <c r="G23" s="175" t="s">
        <v>63</v>
      </c>
      <c r="I23" s="130"/>
      <c r="K23" s="121" t="s">
        <v>38</v>
      </c>
      <c r="N23" s="122"/>
      <c r="O23" s="122" t="s">
        <v>76</v>
      </c>
      <c r="P23" s="198" t="s">
        <v>38</v>
      </c>
      <c r="Q23" s="122"/>
      <c r="R23" s="123">
        <v>1</v>
      </c>
      <c r="T23" s="123">
        <v>1</v>
      </c>
      <c r="U23" s="123">
        <v>1</v>
      </c>
      <c r="W23" s="123">
        <f t="shared" si="0"/>
        <v>3</v>
      </c>
      <c r="X23" s="124">
        <v>5</v>
      </c>
      <c r="Y23" s="125">
        <v>4</v>
      </c>
      <c r="AD23" s="128" t="s">
        <v>119</v>
      </c>
    </row>
    <row r="24" spans="1:30">
      <c r="A24" s="47" t="s">
        <v>120</v>
      </c>
      <c r="B24" s="48" t="s">
        <v>121</v>
      </c>
      <c r="C24" s="49"/>
      <c r="D24" s="50">
        <v>8</v>
      </c>
      <c r="E24" s="51">
        <v>6</v>
      </c>
      <c r="F24" s="52" t="s">
        <v>62</v>
      </c>
      <c r="G24" s="175" t="s">
        <v>85</v>
      </c>
      <c r="I24" s="130"/>
      <c r="K24" s="121" t="s">
        <v>47</v>
      </c>
      <c r="N24" s="122"/>
      <c r="O24" s="122" t="s">
        <v>57</v>
      </c>
      <c r="P24" s="198" t="s">
        <v>47</v>
      </c>
      <c r="Q24" s="122" t="s">
        <v>41</v>
      </c>
      <c r="T24" s="123">
        <v>1</v>
      </c>
      <c r="U24" s="123">
        <v>1</v>
      </c>
      <c r="W24" s="123">
        <f t="shared" si="0"/>
        <v>2</v>
      </c>
      <c r="X24" s="124">
        <v>2</v>
      </c>
      <c r="Y24" s="125">
        <v>3</v>
      </c>
      <c r="Z24" s="126" t="s">
        <v>59</v>
      </c>
      <c r="AD24" s="128">
        <v>6</v>
      </c>
    </row>
    <row r="25" spans="1:30">
      <c r="A25" s="47" t="s">
        <v>122</v>
      </c>
      <c r="B25" s="48" t="s">
        <v>123</v>
      </c>
      <c r="C25" s="49"/>
      <c r="D25" s="50">
        <v>8</v>
      </c>
      <c r="E25" s="51">
        <v>7</v>
      </c>
      <c r="F25" s="52" t="s">
        <v>62</v>
      </c>
      <c r="G25" s="175" t="s">
        <v>124</v>
      </c>
      <c r="I25" s="130"/>
      <c r="K25" s="121" t="s">
        <v>38</v>
      </c>
      <c r="N25" s="122"/>
      <c r="O25" s="122" t="s">
        <v>57</v>
      </c>
      <c r="P25" s="198" t="s">
        <v>38</v>
      </c>
      <c r="Q25" s="122" t="s">
        <v>41</v>
      </c>
      <c r="U25" s="123">
        <v>1</v>
      </c>
      <c r="V25" s="123">
        <v>1</v>
      </c>
      <c r="W25" s="123">
        <f t="shared" si="0"/>
        <v>2</v>
      </c>
      <c r="X25" s="124">
        <v>2</v>
      </c>
      <c r="Y25" s="125">
        <v>4</v>
      </c>
      <c r="Z25" s="126" t="s">
        <v>59</v>
      </c>
      <c r="AB25" s="127" t="s">
        <v>125</v>
      </c>
      <c r="AD25" s="128" t="s">
        <v>99</v>
      </c>
    </row>
    <row r="26" spans="1:30">
      <c r="A26" s="47" t="s">
        <v>126</v>
      </c>
      <c r="B26" s="48" t="s">
        <v>127</v>
      </c>
      <c r="C26" s="49"/>
      <c r="D26" s="50">
        <v>9</v>
      </c>
      <c r="E26" s="51">
        <v>1</v>
      </c>
      <c r="F26" s="52" t="s">
        <v>62</v>
      </c>
      <c r="G26" s="175" t="s">
        <v>81</v>
      </c>
      <c r="I26" s="130"/>
      <c r="K26" s="121" t="s">
        <v>38</v>
      </c>
      <c r="N26" s="122" t="s">
        <v>71</v>
      </c>
      <c r="O26" s="122" t="s">
        <v>76</v>
      </c>
      <c r="P26" s="198" t="s">
        <v>38</v>
      </c>
      <c r="Q26" s="122"/>
      <c r="R26" s="123">
        <v>1</v>
      </c>
      <c r="U26" s="123">
        <v>1</v>
      </c>
      <c r="W26" s="123">
        <f t="shared" si="0"/>
        <v>2</v>
      </c>
      <c r="X26" s="124">
        <v>2</v>
      </c>
      <c r="Y26" s="125">
        <v>2</v>
      </c>
      <c r="AD26" s="128" t="s">
        <v>128</v>
      </c>
    </row>
    <row r="27" spans="1:30">
      <c r="A27" s="47" t="s">
        <v>129</v>
      </c>
      <c r="B27" s="48" t="s">
        <v>130</v>
      </c>
      <c r="C27" s="49"/>
      <c r="D27" s="50">
        <v>9</v>
      </c>
      <c r="E27" s="51">
        <v>2</v>
      </c>
      <c r="F27" s="52" t="s">
        <v>62</v>
      </c>
      <c r="G27" s="175" t="s">
        <v>67</v>
      </c>
      <c r="I27" s="130"/>
      <c r="K27" s="121" t="s">
        <v>47</v>
      </c>
      <c r="N27" s="122"/>
      <c r="O27" s="122" t="s">
        <v>76</v>
      </c>
      <c r="P27" s="198" t="s">
        <v>47</v>
      </c>
      <c r="Q27" s="122" t="s">
        <v>41</v>
      </c>
      <c r="T27" s="123">
        <v>1</v>
      </c>
      <c r="V27" s="123">
        <v>1</v>
      </c>
      <c r="W27" s="123">
        <f t="shared" si="0"/>
        <v>2</v>
      </c>
      <c r="X27" s="124">
        <v>1</v>
      </c>
      <c r="Y27" s="125">
        <v>3</v>
      </c>
      <c r="AD27" s="128">
        <v>4</v>
      </c>
    </row>
    <row r="28" spans="1:30">
      <c r="A28" s="47" t="s">
        <v>131</v>
      </c>
      <c r="B28" s="48" t="s">
        <v>132</v>
      </c>
      <c r="C28" s="49"/>
      <c r="D28" s="50">
        <v>9</v>
      </c>
      <c r="E28" s="51">
        <v>3</v>
      </c>
      <c r="F28" s="52" t="s">
        <v>62</v>
      </c>
      <c r="G28" s="175" t="s">
        <v>133</v>
      </c>
      <c r="I28" s="130"/>
      <c r="K28" s="121" t="s">
        <v>38</v>
      </c>
      <c r="N28" s="122"/>
      <c r="O28" s="122" t="s">
        <v>76</v>
      </c>
      <c r="P28" s="198" t="s">
        <v>38</v>
      </c>
      <c r="Q28" s="122"/>
      <c r="U28" s="123">
        <v>1</v>
      </c>
      <c r="W28" s="123">
        <f t="shared" si="0"/>
        <v>1</v>
      </c>
      <c r="X28" s="124">
        <v>3</v>
      </c>
      <c r="Y28" s="125">
        <v>4</v>
      </c>
      <c r="AD28" s="128" t="s">
        <v>134</v>
      </c>
    </row>
    <row r="29" spans="1:30" ht="18">
      <c r="A29" s="47" t="s">
        <v>135</v>
      </c>
      <c r="B29" s="48" t="s">
        <v>136</v>
      </c>
      <c r="C29" s="49"/>
      <c r="D29" s="50">
        <v>10</v>
      </c>
      <c r="E29" s="51">
        <v>1</v>
      </c>
      <c r="F29" s="52" t="s">
        <v>62</v>
      </c>
      <c r="G29" s="175" t="s">
        <v>46</v>
      </c>
      <c r="I29" s="120"/>
      <c r="K29" s="121" t="s">
        <v>47</v>
      </c>
      <c r="N29" s="122"/>
      <c r="O29" s="122" t="s">
        <v>57</v>
      </c>
      <c r="P29" s="198" t="s">
        <v>47</v>
      </c>
      <c r="Q29" s="122" t="s">
        <v>41</v>
      </c>
      <c r="W29" s="123">
        <f t="shared" si="0"/>
        <v>0</v>
      </c>
      <c r="X29" s="124">
        <v>2</v>
      </c>
      <c r="Y29" s="125">
        <v>3</v>
      </c>
      <c r="Z29" s="126" t="s">
        <v>59</v>
      </c>
      <c r="AD29" s="128" t="s">
        <v>137</v>
      </c>
    </row>
    <row r="30" spans="1:30" ht="18">
      <c r="A30" s="47" t="s">
        <v>138</v>
      </c>
      <c r="B30" s="48" t="s">
        <v>139</v>
      </c>
      <c r="C30" s="49"/>
      <c r="D30" s="50">
        <v>10</v>
      </c>
      <c r="E30" s="51">
        <v>2</v>
      </c>
      <c r="F30" s="52" t="s">
        <v>62</v>
      </c>
      <c r="G30" s="175" t="s">
        <v>85</v>
      </c>
      <c r="I30" s="120"/>
      <c r="K30" s="121" t="s">
        <v>47</v>
      </c>
      <c r="N30" s="122"/>
      <c r="O30" s="122" t="s">
        <v>140</v>
      </c>
      <c r="P30" s="198" t="s">
        <v>47</v>
      </c>
      <c r="Q30" s="122"/>
      <c r="R30" s="123">
        <v>1</v>
      </c>
      <c r="W30" s="123">
        <f t="shared" si="0"/>
        <v>1</v>
      </c>
      <c r="X30" s="124">
        <v>2</v>
      </c>
      <c r="Y30" s="125">
        <v>3</v>
      </c>
      <c r="Z30" s="126" t="s">
        <v>59</v>
      </c>
      <c r="AD30" s="128" t="s">
        <v>141</v>
      </c>
    </row>
    <row r="31" spans="1:30" ht="18">
      <c r="A31" s="47" t="s">
        <v>142</v>
      </c>
      <c r="B31" s="48" t="s">
        <v>143</v>
      </c>
      <c r="C31" s="49"/>
      <c r="D31" s="50">
        <v>10</v>
      </c>
      <c r="E31" s="51">
        <v>3</v>
      </c>
      <c r="F31" s="52" t="s">
        <v>62</v>
      </c>
      <c r="G31" s="175" t="s">
        <v>85</v>
      </c>
      <c r="I31" s="120"/>
      <c r="M31" s="121" t="s">
        <v>39</v>
      </c>
      <c r="N31" s="122"/>
      <c r="O31" s="122" t="s">
        <v>140</v>
      </c>
      <c r="P31" s="198" t="s">
        <v>47</v>
      </c>
      <c r="Q31" s="122" t="s">
        <v>41</v>
      </c>
      <c r="R31" s="123">
        <v>1</v>
      </c>
      <c r="T31" s="123">
        <v>1</v>
      </c>
      <c r="U31" s="123">
        <v>1</v>
      </c>
      <c r="V31" s="123">
        <v>1</v>
      </c>
      <c r="W31" s="123">
        <f t="shared" si="0"/>
        <v>4</v>
      </c>
      <c r="X31" s="124">
        <v>4</v>
      </c>
      <c r="Y31" s="125">
        <v>2</v>
      </c>
      <c r="Z31" s="126" t="s">
        <v>59</v>
      </c>
      <c r="AD31" s="128" t="s">
        <v>144</v>
      </c>
    </row>
    <row r="32" spans="1:30" ht="18">
      <c r="A32" s="47" t="s">
        <v>145</v>
      </c>
      <c r="B32" s="48" t="s">
        <v>146</v>
      </c>
      <c r="C32" s="49"/>
      <c r="D32" s="50">
        <v>10</v>
      </c>
      <c r="E32" s="51">
        <v>4</v>
      </c>
      <c r="F32" s="52" t="s">
        <v>62</v>
      </c>
      <c r="G32" s="175" t="s">
        <v>81</v>
      </c>
      <c r="I32" s="120"/>
      <c r="K32" s="121" t="s">
        <v>47</v>
      </c>
      <c r="N32" s="122" t="s">
        <v>71</v>
      </c>
      <c r="O32" s="122" t="s">
        <v>76</v>
      </c>
      <c r="P32" s="198" t="s">
        <v>47</v>
      </c>
      <c r="Q32" s="122" t="s">
        <v>41</v>
      </c>
      <c r="W32" s="123">
        <f t="shared" si="0"/>
        <v>0</v>
      </c>
      <c r="X32" s="124">
        <v>2</v>
      </c>
      <c r="Y32" s="125">
        <v>3</v>
      </c>
      <c r="AD32" s="128">
        <v>6</v>
      </c>
    </row>
    <row r="33" spans="1:30" ht="18">
      <c r="A33" s="47" t="s">
        <v>147</v>
      </c>
      <c r="B33" s="48" t="s">
        <v>148</v>
      </c>
      <c r="C33" s="49"/>
      <c r="D33" s="50">
        <v>10</v>
      </c>
      <c r="E33" s="51">
        <v>5</v>
      </c>
      <c r="F33" s="52" t="s">
        <v>62</v>
      </c>
      <c r="G33" s="175" t="s">
        <v>85</v>
      </c>
      <c r="I33" s="120"/>
      <c r="M33" s="121" t="s">
        <v>39</v>
      </c>
      <c r="N33" s="122"/>
      <c r="O33" s="122" t="s">
        <v>140</v>
      </c>
      <c r="P33" s="198" t="s">
        <v>47</v>
      </c>
      <c r="Q33" s="122"/>
      <c r="R33" s="123">
        <v>1</v>
      </c>
      <c r="U33" s="123">
        <v>1</v>
      </c>
      <c r="W33" s="123">
        <f t="shared" si="0"/>
        <v>2</v>
      </c>
      <c r="X33" s="124">
        <v>2</v>
      </c>
      <c r="Y33" s="125">
        <v>2</v>
      </c>
      <c r="Z33" s="126" t="s">
        <v>59</v>
      </c>
      <c r="AD33" s="128" t="s">
        <v>93</v>
      </c>
    </row>
    <row r="34" spans="1:30" ht="18">
      <c r="A34" s="47" t="s">
        <v>149</v>
      </c>
      <c r="B34" s="55" t="s">
        <v>150</v>
      </c>
      <c r="C34" s="49"/>
      <c r="D34" s="50">
        <v>10</v>
      </c>
      <c r="E34" s="51">
        <v>6</v>
      </c>
      <c r="F34" s="52" t="s">
        <v>62</v>
      </c>
      <c r="G34" s="175" t="s">
        <v>85</v>
      </c>
      <c r="I34" s="120"/>
      <c r="K34" s="121" t="s">
        <v>47</v>
      </c>
      <c r="N34" s="122"/>
      <c r="O34" s="122" t="s">
        <v>76</v>
      </c>
      <c r="P34" s="198" t="s">
        <v>47</v>
      </c>
      <c r="Q34" s="122"/>
      <c r="U34" s="123">
        <v>1</v>
      </c>
      <c r="W34" s="123">
        <f t="shared" si="0"/>
        <v>1</v>
      </c>
      <c r="X34" s="124">
        <v>2</v>
      </c>
      <c r="Y34" s="125">
        <v>5</v>
      </c>
      <c r="AD34" s="128" t="s">
        <v>151</v>
      </c>
    </row>
    <row r="35" spans="1:30" ht="18">
      <c r="A35" s="47" t="s">
        <v>152</v>
      </c>
      <c r="B35" s="55" t="s">
        <v>153</v>
      </c>
      <c r="C35" s="49"/>
      <c r="D35" s="50">
        <v>10</v>
      </c>
      <c r="E35" s="51">
        <v>7</v>
      </c>
      <c r="F35" s="52" t="s">
        <v>62</v>
      </c>
      <c r="G35" s="175" t="s">
        <v>81</v>
      </c>
      <c r="I35" s="120"/>
      <c r="K35" s="121" t="s">
        <v>38</v>
      </c>
      <c r="N35" s="122" t="s">
        <v>40</v>
      </c>
      <c r="O35" s="122"/>
      <c r="P35" s="198" t="s">
        <v>38</v>
      </c>
      <c r="Q35" s="122" t="s">
        <v>41</v>
      </c>
      <c r="W35" s="123">
        <f t="shared" si="0"/>
        <v>0</v>
      </c>
      <c r="X35" s="124">
        <v>2</v>
      </c>
      <c r="Y35" s="125">
        <v>1</v>
      </c>
      <c r="AD35" s="128" t="s">
        <v>154</v>
      </c>
    </row>
    <row r="36" spans="1:30" ht="18">
      <c r="A36" s="47" t="s">
        <v>155</v>
      </c>
      <c r="B36" s="55" t="s">
        <v>156</v>
      </c>
      <c r="C36" s="49"/>
      <c r="D36" s="50">
        <v>10</v>
      </c>
      <c r="E36" s="51">
        <v>8</v>
      </c>
      <c r="F36" s="52" t="s">
        <v>62</v>
      </c>
      <c r="G36" s="175" t="s">
        <v>37</v>
      </c>
      <c r="I36" s="120"/>
      <c r="K36" s="121" t="s">
        <v>38</v>
      </c>
      <c r="N36" s="122"/>
      <c r="O36" s="122" t="s">
        <v>76</v>
      </c>
      <c r="P36" s="198" t="s">
        <v>38</v>
      </c>
      <c r="Q36" s="122"/>
      <c r="R36" s="123">
        <v>1</v>
      </c>
      <c r="U36" s="123">
        <v>1</v>
      </c>
      <c r="W36" s="123">
        <f t="shared" si="0"/>
        <v>2</v>
      </c>
      <c r="X36" s="124">
        <v>5</v>
      </c>
      <c r="Y36" s="125">
        <v>2</v>
      </c>
      <c r="AD36" s="128" t="s">
        <v>157</v>
      </c>
    </row>
    <row r="37" spans="1:30" ht="18">
      <c r="A37" s="47" t="s">
        <v>158</v>
      </c>
      <c r="B37" s="55" t="s">
        <v>159</v>
      </c>
      <c r="C37" s="49"/>
      <c r="D37" s="50">
        <v>10</v>
      </c>
      <c r="E37" s="51">
        <v>9</v>
      </c>
      <c r="F37" s="52" t="s">
        <v>62</v>
      </c>
      <c r="G37" s="175" t="s">
        <v>92</v>
      </c>
      <c r="I37" s="120"/>
      <c r="K37" s="121" t="s">
        <v>47</v>
      </c>
      <c r="N37" s="122"/>
      <c r="O37" s="122" t="s">
        <v>76</v>
      </c>
      <c r="P37" s="198" t="s">
        <v>47</v>
      </c>
      <c r="Q37" s="122"/>
      <c r="R37" s="123">
        <v>1</v>
      </c>
      <c r="W37" s="123">
        <f t="shared" si="0"/>
        <v>1</v>
      </c>
      <c r="X37" s="124">
        <v>2</v>
      </c>
      <c r="Y37" s="125">
        <v>3</v>
      </c>
      <c r="AD37" s="128">
        <v>6</v>
      </c>
    </row>
    <row r="38" spans="1:30" ht="18">
      <c r="A38" s="47" t="s">
        <v>160</v>
      </c>
      <c r="B38" s="55" t="s">
        <v>161</v>
      </c>
      <c r="C38" s="49"/>
      <c r="D38" s="50">
        <v>10</v>
      </c>
      <c r="E38" s="51">
        <v>10</v>
      </c>
      <c r="F38" s="52" t="s">
        <v>62</v>
      </c>
      <c r="G38" s="175" t="s">
        <v>92</v>
      </c>
      <c r="I38" s="120"/>
      <c r="K38" s="121" t="s">
        <v>47</v>
      </c>
      <c r="N38" s="122" t="s">
        <v>40</v>
      </c>
      <c r="O38" s="122" t="s">
        <v>76</v>
      </c>
      <c r="P38" s="198" t="s">
        <v>47</v>
      </c>
      <c r="Q38" s="122" t="s">
        <v>41</v>
      </c>
      <c r="R38" s="123">
        <v>1</v>
      </c>
      <c r="U38" s="123">
        <v>1</v>
      </c>
      <c r="W38" s="123">
        <f t="shared" si="0"/>
        <v>2</v>
      </c>
      <c r="X38" s="124">
        <v>2</v>
      </c>
      <c r="Y38" s="125">
        <v>5</v>
      </c>
      <c r="AB38" s="127" t="s">
        <v>125</v>
      </c>
      <c r="AD38" s="128" t="s">
        <v>99</v>
      </c>
    </row>
    <row r="39" spans="1:30" ht="18">
      <c r="A39" s="47" t="s">
        <v>162</v>
      </c>
      <c r="B39" s="55" t="s">
        <v>163</v>
      </c>
      <c r="C39" s="49"/>
      <c r="D39" s="50">
        <v>10</v>
      </c>
      <c r="E39" s="51">
        <v>11</v>
      </c>
      <c r="F39" s="52" t="s">
        <v>62</v>
      </c>
      <c r="G39" s="175" t="s">
        <v>92</v>
      </c>
      <c r="I39" s="120"/>
      <c r="K39" s="121" t="s">
        <v>47</v>
      </c>
      <c r="N39" s="122" t="s">
        <v>40</v>
      </c>
      <c r="O39" s="122"/>
      <c r="P39" s="198" t="s">
        <v>47</v>
      </c>
      <c r="Q39" s="122"/>
      <c r="W39" s="123">
        <f t="shared" si="0"/>
        <v>0</v>
      </c>
      <c r="X39" s="124">
        <v>2</v>
      </c>
      <c r="Y39" s="125">
        <v>3</v>
      </c>
      <c r="AD39" s="128" t="s">
        <v>141</v>
      </c>
    </row>
    <row r="40" spans="1:30" ht="18">
      <c r="A40" s="47" t="s">
        <v>164</v>
      </c>
      <c r="B40" s="55" t="s">
        <v>165</v>
      </c>
      <c r="C40" s="49"/>
      <c r="D40" s="50">
        <v>10</v>
      </c>
      <c r="E40" s="51">
        <v>12</v>
      </c>
      <c r="F40" s="52" t="s">
        <v>62</v>
      </c>
      <c r="G40" s="175" t="s">
        <v>81</v>
      </c>
      <c r="I40" s="120"/>
      <c r="K40" s="121" t="s">
        <v>47</v>
      </c>
      <c r="N40" s="122" t="s">
        <v>40</v>
      </c>
      <c r="O40" s="122" t="s">
        <v>140</v>
      </c>
      <c r="P40" s="198" t="s">
        <v>47</v>
      </c>
      <c r="Q40" s="122"/>
      <c r="R40" s="123">
        <v>1</v>
      </c>
      <c r="U40" s="123">
        <v>1</v>
      </c>
      <c r="W40" s="123">
        <f t="shared" si="0"/>
        <v>2</v>
      </c>
      <c r="X40" s="124">
        <v>2</v>
      </c>
      <c r="Y40" s="125">
        <v>3</v>
      </c>
      <c r="Z40" s="126" t="s">
        <v>59</v>
      </c>
      <c r="AD40" s="128" t="s">
        <v>128</v>
      </c>
    </row>
    <row r="41" spans="1:30" ht="18">
      <c r="A41" s="47" t="s">
        <v>166</v>
      </c>
      <c r="B41" s="55" t="s">
        <v>167</v>
      </c>
      <c r="C41" s="49"/>
      <c r="D41" s="50">
        <v>10</v>
      </c>
      <c r="E41" s="51">
        <v>13</v>
      </c>
      <c r="F41" s="52" t="s">
        <v>62</v>
      </c>
      <c r="G41" s="175" t="s">
        <v>168</v>
      </c>
      <c r="I41" s="120"/>
      <c r="K41" s="121" t="s">
        <v>47</v>
      </c>
      <c r="N41" s="122"/>
      <c r="O41" s="122" t="s">
        <v>140</v>
      </c>
      <c r="P41" s="198" t="s">
        <v>47</v>
      </c>
      <c r="Q41" s="122"/>
      <c r="R41" s="123">
        <v>1</v>
      </c>
      <c r="W41" s="123">
        <f t="shared" si="0"/>
        <v>1</v>
      </c>
      <c r="X41" s="124">
        <v>4</v>
      </c>
      <c r="Y41" s="125">
        <v>3</v>
      </c>
      <c r="Z41" s="126" t="s">
        <v>59</v>
      </c>
      <c r="AD41" s="128" t="s">
        <v>169</v>
      </c>
    </row>
    <row r="42" spans="1:30" ht="18">
      <c r="A42" s="47" t="s">
        <v>170</v>
      </c>
      <c r="B42" s="55" t="s">
        <v>171</v>
      </c>
      <c r="C42" s="49"/>
      <c r="D42" s="50">
        <v>10</v>
      </c>
      <c r="E42" s="51">
        <v>14</v>
      </c>
      <c r="F42" s="52" t="s">
        <v>62</v>
      </c>
      <c r="G42" s="175" t="s">
        <v>172</v>
      </c>
      <c r="I42" s="120"/>
      <c r="M42" s="121" t="s">
        <v>39</v>
      </c>
      <c r="N42" s="122" t="s">
        <v>173</v>
      </c>
      <c r="O42" s="122"/>
      <c r="P42" s="198" t="s">
        <v>38</v>
      </c>
      <c r="Q42" s="122"/>
      <c r="T42" s="123">
        <v>1</v>
      </c>
      <c r="U42" s="123">
        <v>1</v>
      </c>
      <c r="V42" s="123">
        <v>1</v>
      </c>
      <c r="W42" s="123">
        <f t="shared" si="0"/>
        <v>3</v>
      </c>
      <c r="X42" s="124">
        <v>1</v>
      </c>
      <c r="Y42" s="125">
        <v>3</v>
      </c>
      <c r="AD42" s="128" t="s">
        <v>102</v>
      </c>
    </row>
    <row r="43" spans="1:30" ht="18">
      <c r="A43" s="47" t="s">
        <v>174</v>
      </c>
      <c r="B43" s="55" t="s">
        <v>175</v>
      </c>
      <c r="C43" s="49"/>
      <c r="D43" s="50">
        <v>10</v>
      </c>
      <c r="E43" s="51">
        <v>15</v>
      </c>
      <c r="F43" s="52" t="s">
        <v>62</v>
      </c>
      <c r="G43" s="175" t="s">
        <v>176</v>
      </c>
      <c r="I43" s="120"/>
      <c r="K43" s="121" t="s">
        <v>47</v>
      </c>
      <c r="N43" s="122"/>
      <c r="O43" s="122" t="s">
        <v>76</v>
      </c>
      <c r="P43" s="198" t="s">
        <v>47</v>
      </c>
      <c r="Q43" s="122" t="s">
        <v>41</v>
      </c>
      <c r="W43" s="123">
        <f t="shared" si="0"/>
        <v>0</v>
      </c>
      <c r="X43" s="124">
        <v>5</v>
      </c>
      <c r="Y43" s="125">
        <v>3</v>
      </c>
      <c r="AD43" s="128" t="s">
        <v>137</v>
      </c>
    </row>
    <row r="44" spans="1:30" ht="18">
      <c r="A44" s="47" t="s">
        <v>177</v>
      </c>
      <c r="B44" s="55" t="s">
        <v>178</v>
      </c>
      <c r="C44" s="49"/>
      <c r="D44" s="50">
        <v>10</v>
      </c>
      <c r="E44" s="51">
        <v>16</v>
      </c>
      <c r="F44" s="52" t="s">
        <v>62</v>
      </c>
      <c r="G44" s="177" t="s">
        <v>46</v>
      </c>
      <c r="I44" s="131"/>
      <c r="K44" s="121" t="s">
        <v>47</v>
      </c>
      <c r="N44" s="122"/>
      <c r="O44" s="122" t="s">
        <v>76</v>
      </c>
      <c r="P44" s="198" t="s">
        <v>47</v>
      </c>
      <c r="Q44" s="122" t="s">
        <v>41</v>
      </c>
      <c r="W44" s="123">
        <f t="shared" si="0"/>
        <v>0</v>
      </c>
      <c r="X44" s="124">
        <v>2</v>
      </c>
      <c r="Y44" s="125">
        <v>3</v>
      </c>
      <c r="AD44" s="128" t="s">
        <v>93</v>
      </c>
    </row>
    <row r="45" spans="1:30" ht="18">
      <c r="A45" s="47" t="s">
        <v>179</v>
      </c>
      <c r="B45" s="55" t="s">
        <v>180</v>
      </c>
      <c r="C45" s="49"/>
      <c r="D45" s="50">
        <v>10</v>
      </c>
      <c r="E45" s="51">
        <v>17</v>
      </c>
      <c r="F45" s="52" t="s">
        <v>62</v>
      </c>
      <c r="G45" s="177" t="s">
        <v>46</v>
      </c>
      <c r="I45" s="131"/>
      <c r="K45" s="121" t="s">
        <v>47</v>
      </c>
      <c r="N45" s="122"/>
      <c r="O45" s="122" t="s">
        <v>140</v>
      </c>
      <c r="P45" s="198" t="s">
        <v>47</v>
      </c>
      <c r="Q45" s="122"/>
      <c r="R45" s="123">
        <v>1</v>
      </c>
      <c r="W45" s="123">
        <f t="shared" si="0"/>
        <v>1</v>
      </c>
      <c r="X45" s="124">
        <v>2</v>
      </c>
      <c r="Y45" s="125">
        <v>3</v>
      </c>
      <c r="Z45" s="126" t="s">
        <v>59</v>
      </c>
      <c r="AD45" s="128" t="s">
        <v>181</v>
      </c>
    </row>
    <row r="46" spans="1:30" ht="18">
      <c r="A46" s="47" t="s">
        <v>182</v>
      </c>
      <c r="B46" s="55" t="s">
        <v>183</v>
      </c>
      <c r="C46" s="49"/>
      <c r="D46" s="50">
        <v>10</v>
      </c>
      <c r="E46" s="51">
        <v>18</v>
      </c>
      <c r="F46" s="52" t="s">
        <v>62</v>
      </c>
      <c r="G46" s="177" t="s">
        <v>81</v>
      </c>
      <c r="I46" s="131"/>
      <c r="K46" s="121" t="s">
        <v>47</v>
      </c>
      <c r="N46" s="122" t="s">
        <v>173</v>
      </c>
      <c r="O46" s="122" t="s">
        <v>76</v>
      </c>
      <c r="P46" s="198" t="s">
        <v>47</v>
      </c>
      <c r="Q46" s="122"/>
      <c r="U46" s="123">
        <v>1</v>
      </c>
      <c r="W46" s="123">
        <f>SUM(R46:V46)</f>
        <v>1</v>
      </c>
      <c r="X46" s="124">
        <v>2</v>
      </c>
      <c r="Y46" s="125">
        <v>3</v>
      </c>
      <c r="AD46" s="128" t="s">
        <v>114</v>
      </c>
    </row>
    <row r="47" spans="1:30" ht="18">
      <c r="A47" s="47" t="s">
        <v>184</v>
      </c>
      <c r="B47" s="55" t="s">
        <v>185</v>
      </c>
      <c r="C47" s="49"/>
      <c r="D47" s="50">
        <v>10</v>
      </c>
      <c r="E47" s="51">
        <v>19</v>
      </c>
      <c r="F47" s="52" t="s">
        <v>62</v>
      </c>
      <c r="G47" s="177" t="s">
        <v>37</v>
      </c>
      <c r="I47" s="131"/>
      <c r="K47" s="121" t="s">
        <v>47</v>
      </c>
      <c r="N47" s="122" t="s">
        <v>40</v>
      </c>
      <c r="O47" s="122"/>
      <c r="P47" s="198" t="s">
        <v>47</v>
      </c>
      <c r="Q47" s="122"/>
      <c r="W47" s="123">
        <f t="shared" si="0"/>
        <v>0</v>
      </c>
      <c r="X47" s="124">
        <v>5</v>
      </c>
      <c r="Y47" s="125">
        <v>5</v>
      </c>
      <c r="AD47" s="128" t="s">
        <v>154</v>
      </c>
    </row>
    <row r="48" spans="1:30" ht="18">
      <c r="A48" s="47" t="s">
        <v>186</v>
      </c>
      <c r="B48" s="55" t="s">
        <v>187</v>
      </c>
      <c r="C48" s="49"/>
      <c r="D48" s="50">
        <v>10</v>
      </c>
      <c r="E48" s="51">
        <v>20</v>
      </c>
      <c r="F48" s="52" t="s">
        <v>62</v>
      </c>
      <c r="G48" s="177" t="s">
        <v>188</v>
      </c>
      <c r="I48" s="131"/>
      <c r="K48" s="121" t="s">
        <v>38</v>
      </c>
      <c r="M48" s="121" t="s">
        <v>39</v>
      </c>
      <c r="N48" s="122"/>
      <c r="O48" s="122" t="s">
        <v>76</v>
      </c>
      <c r="P48" s="198" t="s">
        <v>38</v>
      </c>
      <c r="Q48" s="122" t="s">
        <v>41</v>
      </c>
      <c r="R48" s="123">
        <v>1</v>
      </c>
      <c r="U48" s="123">
        <v>1</v>
      </c>
      <c r="W48" s="123">
        <f t="shared" si="0"/>
        <v>2</v>
      </c>
      <c r="X48" s="124">
        <v>5</v>
      </c>
      <c r="Y48" s="125" t="s">
        <v>189</v>
      </c>
      <c r="AD48" s="128" t="s">
        <v>114</v>
      </c>
    </row>
    <row r="49" spans="1:30" ht="18">
      <c r="A49" s="47" t="s">
        <v>190</v>
      </c>
      <c r="B49" s="55" t="s">
        <v>191</v>
      </c>
      <c r="C49" s="49"/>
      <c r="D49" s="50">
        <v>10</v>
      </c>
      <c r="E49" s="51">
        <v>21</v>
      </c>
      <c r="F49" s="52" t="s">
        <v>62</v>
      </c>
      <c r="G49" s="177" t="s">
        <v>192</v>
      </c>
      <c r="I49" s="131"/>
      <c r="K49" s="121" t="s">
        <v>47</v>
      </c>
      <c r="N49" s="122"/>
      <c r="O49" s="122" t="s">
        <v>76</v>
      </c>
      <c r="P49" s="198" t="s">
        <v>47</v>
      </c>
      <c r="Q49" s="122"/>
      <c r="W49" s="123">
        <f t="shared" si="0"/>
        <v>0</v>
      </c>
      <c r="X49" s="124">
        <v>2</v>
      </c>
      <c r="Y49" s="125">
        <v>3</v>
      </c>
      <c r="AD49" s="128">
        <v>6</v>
      </c>
    </row>
    <row r="50" spans="1:30" ht="18">
      <c r="A50" s="47" t="s">
        <v>193</v>
      </c>
      <c r="B50" s="55" t="s">
        <v>194</v>
      </c>
      <c r="C50" s="49"/>
      <c r="D50" s="50">
        <v>10</v>
      </c>
      <c r="E50" s="51">
        <v>22</v>
      </c>
      <c r="F50" s="52" t="s">
        <v>62</v>
      </c>
      <c r="G50" s="177" t="s">
        <v>46</v>
      </c>
      <c r="I50" s="131"/>
      <c r="K50" s="121" t="s">
        <v>38</v>
      </c>
      <c r="N50" s="122" t="s">
        <v>173</v>
      </c>
      <c r="O50" s="122"/>
      <c r="P50" s="198" t="s">
        <v>38</v>
      </c>
      <c r="Q50" s="122" t="s">
        <v>41</v>
      </c>
      <c r="U50" s="123">
        <v>1</v>
      </c>
      <c r="W50" s="123">
        <f t="shared" si="0"/>
        <v>1</v>
      </c>
      <c r="X50" s="124">
        <v>2</v>
      </c>
      <c r="Y50" s="125">
        <v>1</v>
      </c>
      <c r="AB50" s="127" t="s">
        <v>195</v>
      </c>
      <c r="AD50" s="128" t="s">
        <v>196</v>
      </c>
    </row>
    <row r="51" spans="1:30" ht="18">
      <c r="A51" s="47" t="s">
        <v>197</v>
      </c>
      <c r="B51" s="55" t="s">
        <v>198</v>
      </c>
      <c r="C51" s="49"/>
      <c r="D51" s="50">
        <v>10</v>
      </c>
      <c r="E51" s="51">
        <v>23</v>
      </c>
      <c r="F51" s="52" t="s">
        <v>62</v>
      </c>
      <c r="G51" s="177" t="s">
        <v>192</v>
      </c>
      <c r="I51" s="131"/>
      <c r="M51" s="121" t="s">
        <v>39</v>
      </c>
      <c r="N51" s="122" t="s">
        <v>40</v>
      </c>
      <c r="O51" s="122"/>
      <c r="P51" s="198" t="s">
        <v>47</v>
      </c>
      <c r="Q51" s="122"/>
      <c r="U51" s="123">
        <v>1</v>
      </c>
      <c r="V51" s="123">
        <v>1</v>
      </c>
      <c r="W51" s="123">
        <f t="shared" si="0"/>
        <v>2</v>
      </c>
      <c r="X51" s="124">
        <v>2</v>
      </c>
      <c r="Y51" s="125">
        <v>2</v>
      </c>
      <c r="AD51" s="128" t="s">
        <v>93</v>
      </c>
    </row>
    <row r="52" spans="1:30" ht="18">
      <c r="A52" s="47" t="s">
        <v>199</v>
      </c>
      <c r="B52" s="55" t="s">
        <v>200</v>
      </c>
      <c r="C52" s="49"/>
      <c r="D52" s="50">
        <v>10</v>
      </c>
      <c r="E52" s="51">
        <v>24</v>
      </c>
      <c r="F52" s="52" t="s">
        <v>62</v>
      </c>
      <c r="G52" s="177" t="s">
        <v>92</v>
      </c>
      <c r="I52" s="131"/>
      <c r="J52" s="121" t="s">
        <v>76</v>
      </c>
      <c r="L52" s="121" t="s">
        <v>41</v>
      </c>
      <c r="N52" s="122"/>
      <c r="O52" s="122" t="s">
        <v>76</v>
      </c>
      <c r="P52" s="198" t="s">
        <v>47</v>
      </c>
      <c r="Q52" s="122" t="s">
        <v>41</v>
      </c>
      <c r="S52" s="123">
        <v>1</v>
      </c>
      <c r="V52" s="123">
        <v>1</v>
      </c>
      <c r="W52" s="123">
        <f t="shared" si="0"/>
        <v>2</v>
      </c>
      <c r="X52" s="124">
        <v>4</v>
      </c>
      <c r="Y52" s="125" t="s">
        <v>201</v>
      </c>
      <c r="AC52" s="127" t="s">
        <v>202</v>
      </c>
      <c r="AD52" s="128" t="s">
        <v>203</v>
      </c>
    </row>
    <row r="53" spans="1:30" ht="18">
      <c r="A53" s="47" t="s">
        <v>204</v>
      </c>
      <c r="B53" s="55" t="s">
        <v>205</v>
      </c>
      <c r="C53" s="49"/>
      <c r="D53" s="50">
        <v>10</v>
      </c>
      <c r="E53" s="51">
        <v>25</v>
      </c>
      <c r="F53" s="52" t="s">
        <v>62</v>
      </c>
      <c r="G53" s="177" t="s">
        <v>85</v>
      </c>
      <c r="I53" s="131"/>
      <c r="K53" s="121" t="s">
        <v>47</v>
      </c>
      <c r="N53" s="122"/>
      <c r="O53" s="122"/>
      <c r="P53" s="198" t="s">
        <v>47</v>
      </c>
      <c r="Q53" s="122" t="s">
        <v>41</v>
      </c>
      <c r="R53" s="123">
        <v>1</v>
      </c>
      <c r="S53" s="123">
        <v>1</v>
      </c>
      <c r="T53" s="123">
        <v>1</v>
      </c>
      <c r="U53" s="123">
        <v>1</v>
      </c>
      <c r="W53" s="123">
        <f t="shared" si="0"/>
        <v>4</v>
      </c>
      <c r="X53" s="124">
        <v>1</v>
      </c>
      <c r="Y53" s="125">
        <v>5</v>
      </c>
      <c r="AD53" s="128" t="s">
        <v>206</v>
      </c>
    </row>
    <row r="54" spans="1:30" ht="18">
      <c r="A54" s="47" t="s">
        <v>207</v>
      </c>
      <c r="B54" s="55" t="s">
        <v>208</v>
      </c>
      <c r="C54" s="49"/>
      <c r="D54" s="50">
        <v>10</v>
      </c>
      <c r="E54" s="51">
        <v>26</v>
      </c>
      <c r="F54" s="52" t="s">
        <v>62</v>
      </c>
      <c r="G54" s="177" t="s">
        <v>37</v>
      </c>
      <c r="I54" s="131"/>
      <c r="K54" s="121" t="s">
        <v>47</v>
      </c>
      <c r="N54" s="122"/>
      <c r="O54" s="122" t="s">
        <v>76</v>
      </c>
      <c r="P54" s="198" t="s">
        <v>47</v>
      </c>
      <c r="Q54" s="122" t="s">
        <v>41</v>
      </c>
      <c r="U54" s="123">
        <v>1</v>
      </c>
      <c r="W54" s="123">
        <f t="shared" si="0"/>
        <v>1</v>
      </c>
      <c r="X54" s="124">
        <v>2</v>
      </c>
      <c r="Y54" s="125">
        <v>3</v>
      </c>
      <c r="AD54" s="128">
        <v>6</v>
      </c>
    </row>
    <row r="55" spans="1:30" ht="18">
      <c r="A55" s="47" t="s">
        <v>209</v>
      </c>
      <c r="B55" s="55" t="s">
        <v>210</v>
      </c>
      <c r="C55" s="49"/>
      <c r="D55" s="50">
        <v>10</v>
      </c>
      <c r="E55" s="51">
        <v>27</v>
      </c>
      <c r="F55" s="52" t="s">
        <v>62</v>
      </c>
      <c r="G55" s="177" t="s">
        <v>176</v>
      </c>
      <c r="I55" s="131"/>
      <c r="K55" s="121" t="s">
        <v>47</v>
      </c>
      <c r="N55" s="122" t="s">
        <v>71</v>
      </c>
      <c r="O55" s="122" t="s">
        <v>76</v>
      </c>
      <c r="P55" s="198" t="s">
        <v>47</v>
      </c>
      <c r="Q55" s="122"/>
      <c r="W55" s="123">
        <f t="shared" si="0"/>
        <v>0</v>
      </c>
      <c r="X55" s="124">
        <v>2</v>
      </c>
      <c r="Y55" s="125">
        <v>3</v>
      </c>
      <c r="AD55" s="128" t="s">
        <v>141</v>
      </c>
    </row>
    <row r="56" spans="1:30" ht="18">
      <c r="A56" s="47" t="s">
        <v>211</v>
      </c>
      <c r="B56" s="55" t="s">
        <v>212</v>
      </c>
      <c r="C56" s="49"/>
      <c r="D56" s="50">
        <v>10</v>
      </c>
      <c r="E56" s="51">
        <v>28</v>
      </c>
      <c r="F56" s="52" t="s">
        <v>62</v>
      </c>
      <c r="G56" s="177" t="s">
        <v>172</v>
      </c>
      <c r="I56" s="131"/>
      <c r="K56" s="121" t="s">
        <v>38</v>
      </c>
      <c r="M56" s="121" t="s">
        <v>39</v>
      </c>
      <c r="N56" s="122" t="s">
        <v>40</v>
      </c>
      <c r="O56" s="122"/>
      <c r="P56" s="198" t="s">
        <v>38</v>
      </c>
      <c r="Q56" s="122"/>
      <c r="R56" s="123">
        <v>1</v>
      </c>
      <c r="T56" s="123">
        <v>1</v>
      </c>
      <c r="U56" s="123">
        <v>1</v>
      </c>
      <c r="W56" s="123">
        <f t="shared" si="0"/>
        <v>3</v>
      </c>
      <c r="X56" s="124">
        <v>2</v>
      </c>
      <c r="Y56" s="125" t="s">
        <v>213</v>
      </c>
      <c r="AD56" s="128" t="s">
        <v>214</v>
      </c>
    </row>
    <row r="57" spans="1:30" ht="18">
      <c r="A57" s="47" t="s">
        <v>215</v>
      </c>
      <c r="B57" s="55" t="s">
        <v>216</v>
      </c>
      <c r="C57" s="49"/>
      <c r="D57" s="50">
        <v>10</v>
      </c>
      <c r="E57" s="51">
        <v>29</v>
      </c>
      <c r="F57" s="52" t="s">
        <v>62</v>
      </c>
      <c r="G57" s="177" t="s">
        <v>192</v>
      </c>
      <c r="I57" s="131"/>
      <c r="K57" s="121" t="s">
        <v>47</v>
      </c>
      <c r="N57" s="122" t="s">
        <v>40</v>
      </c>
      <c r="O57" s="122"/>
      <c r="P57" s="198" t="s">
        <v>47</v>
      </c>
      <c r="Q57" s="122"/>
      <c r="W57" s="123">
        <f t="shared" si="0"/>
        <v>0</v>
      </c>
      <c r="X57" s="124">
        <v>2</v>
      </c>
      <c r="Y57" s="125">
        <v>3</v>
      </c>
      <c r="AD57" s="128" t="s">
        <v>141</v>
      </c>
    </row>
    <row r="58" spans="1:30" ht="18">
      <c r="A58" s="47" t="s">
        <v>217</v>
      </c>
      <c r="B58" s="55" t="s">
        <v>218</v>
      </c>
      <c r="C58" s="49"/>
      <c r="D58" s="50">
        <v>10</v>
      </c>
      <c r="E58" s="51">
        <v>30</v>
      </c>
      <c r="F58" s="52" t="s">
        <v>62</v>
      </c>
      <c r="G58" s="177" t="s">
        <v>81</v>
      </c>
      <c r="I58" s="131"/>
      <c r="K58" s="121" t="s">
        <v>38</v>
      </c>
      <c r="N58" s="122" t="s">
        <v>40</v>
      </c>
      <c r="O58" s="122" t="s">
        <v>76</v>
      </c>
      <c r="P58" s="198" t="s">
        <v>38</v>
      </c>
      <c r="Q58" s="122"/>
      <c r="R58" s="123">
        <v>1</v>
      </c>
      <c r="U58" s="123">
        <v>1</v>
      </c>
      <c r="V58" s="123">
        <v>1</v>
      </c>
      <c r="W58" s="123">
        <f t="shared" si="0"/>
        <v>3</v>
      </c>
      <c r="X58" s="124">
        <v>2</v>
      </c>
      <c r="Y58" s="125">
        <v>2</v>
      </c>
      <c r="AD58" s="128" t="s">
        <v>114</v>
      </c>
    </row>
    <row r="59" spans="1:30" ht="18">
      <c r="A59" s="47" t="s">
        <v>219</v>
      </c>
      <c r="B59" s="55" t="s">
        <v>220</v>
      </c>
      <c r="C59" s="49"/>
      <c r="D59" s="50">
        <v>10</v>
      </c>
      <c r="E59" s="51">
        <v>31</v>
      </c>
      <c r="F59" s="52" t="s">
        <v>62</v>
      </c>
      <c r="G59" s="177" t="s">
        <v>168</v>
      </c>
      <c r="I59" s="131"/>
      <c r="K59" s="121" t="s">
        <v>47</v>
      </c>
      <c r="N59" s="122"/>
      <c r="O59" s="122" t="s">
        <v>76</v>
      </c>
      <c r="P59" s="198" t="s">
        <v>47</v>
      </c>
      <c r="Q59" s="122"/>
      <c r="W59" s="123">
        <f t="shared" si="0"/>
        <v>0</v>
      </c>
      <c r="X59" s="124">
        <v>2</v>
      </c>
      <c r="Y59" s="125">
        <v>3</v>
      </c>
      <c r="AD59" s="128" t="s">
        <v>221</v>
      </c>
    </row>
    <row r="60" spans="1:30" ht="18">
      <c r="A60" s="47" t="s">
        <v>222</v>
      </c>
      <c r="B60" s="55" t="s">
        <v>223</v>
      </c>
      <c r="C60" s="49"/>
      <c r="D60" s="50">
        <v>10</v>
      </c>
      <c r="E60" s="51">
        <v>32</v>
      </c>
      <c r="F60" s="52" t="s">
        <v>62</v>
      </c>
      <c r="G60" s="177" t="s">
        <v>111</v>
      </c>
      <c r="I60" s="131"/>
      <c r="J60" s="121" t="s">
        <v>76</v>
      </c>
      <c r="M60" s="121" t="s">
        <v>39</v>
      </c>
      <c r="N60" s="122"/>
      <c r="O60" s="122" t="s">
        <v>76</v>
      </c>
      <c r="P60" s="198" t="s">
        <v>47</v>
      </c>
      <c r="Q60" s="122" t="s">
        <v>41</v>
      </c>
      <c r="R60" s="123">
        <v>1</v>
      </c>
      <c r="U60" s="123">
        <v>1</v>
      </c>
      <c r="V60" s="123">
        <v>1</v>
      </c>
      <c r="W60" s="123">
        <f t="shared" si="0"/>
        <v>3</v>
      </c>
      <c r="X60" s="124">
        <v>1</v>
      </c>
      <c r="Y60" s="125" t="s">
        <v>224</v>
      </c>
      <c r="AD60" s="128" t="s">
        <v>225</v>
      </c>
    </row>
    <row r="61" spans="1:30" ht="18">
      <c r="A61" s="47" t="s">
        <v>226</v>
      </c>
      <c r="B61" s="55" t="s">
        <v>227</v>
      </c>
      <c r="C61" s="49"/>
      <c r="D61" s="50">
        <v>10</v>
      </c>
      <c r="E61" s="51">
        <v>33</v>
      </c>
      <c r="F61" s="52" t="s">
        <v>62</v>
      </c>
      <c r="G61" s="177" t="s">
        <v>67</v>
      </c>
      <c r="I61" s="131"/>
      <c r="K61" s="121" t="s">
        <v>47</v>
      </c>
      <c r="N61" s="122"/>
      <c r="O61" s="122" t="s">
        <v>76</v>
      </c>
      <c r="P61" s="198" t="s">
        <v>47</v>
      </c>
      <c r="Q61" s="122" t="s">
        <v>41</v>
      </c>
      <c r="W61" s="123">
        <f t="shared" si="0"/>
        <v>0</v>
      </c>
      <c r="X61" s="124">
        <v>5</v>
      </c>
      <c r="Y61" s="125">
        <v>3</v>
      </c>
      <c r="AD61" s="128" t="s">
        <v>137</v>
      </c>
    </row>
    <row r="62" spans="1:30" ht="18">
      <c r="A62" s="47" t="s">
        <v>228</v>
      </c>
      <c r="B62" s="55" t="s">
        <v>229</v>
      </c>
      <c r="C62" s="49" t="s">
        <v>230</v>
      </c>
      <c r="D62" s="50">
        <v>10</v>
      </c>
      <c r="E62" s="51">
        <v>34</v>
      </c>
      <c r="F62" s="52" t="s">
        <v>62</v>
      </c>
      <c r="G62" s="177" t="s">
        <v>81</v>
      </c>
      <c r="H62" s="53" t="s">
        <v>231</v>
      </c>
      <c r="I62" s="131"/>
      <c r="K62" s="121" t="s">
        <v>47</v>
      </c>
      <c r="N62" s="122"/>
      <c r="O62" s="122"/>
      <c r="P62" s="198" t="s">
        <v>47</v>
      </c>
      <c r="Q62" s="122"/>
      <c r="R62" s="123">
        <v>1</v>
      </c>
      <c r="W62" s="123">
        <f t="shared" si="0"/>
        <v>1</v>
      </c>
      <c r="X62" s="124">
        <v>2</v>
      </c>
      <c r="Y62" s="125">
        <v>3</v>
      </c>
      <c r="AD62" s="128" t="s">
        <v>141</v>
      </c>
    </row>
    <row r="63" spans="1:30" ht="18">
      <c r="A63" s="47" t="s">
        <v>232</v>
      </c>
      <c r="B63" s="55" t="s">
        <v>233</v>
      </c>
      <c r="C63" s="49"/>
      <c r="D63" s="50">
        <v>10</v>
      </c>
      <c r="E63" s="51">
        <v>35</v>
      </c>
      <c r="F63" s="52" t="s">
        <v>62</v>
      </c>
      <c r="G63" s="177" t="s">
        <v>92</v>
      </c>
      <c r="I63" s="131"/>
      <c r="K63" s="121" t="s">
        <v>47</v>
      </c>
      <c r="N63" s="122" t="s">
        <v>40</v>
      </c>
      <c r="O63" s="122"/>
      <c r="P63" s="198" t="s">
        <v>47</v>
      </c>
      <c r="Q63" s="122" t="s">
        <v>41</v>
      </c>
      <c r="V63" s="123">
        <v>1</v>
      </c>
      <c r="W63" s="123">
        <f t="shared" si="0"/>
        <v>1</v>
      </c>
      <c r="X63" s="124">
        <v>2</v>
      </c>
      <c r="Y63" s="125">
        <v>3</v>
      </c>
      <c r="AD63" s="128" t="s">
        <v>157</v>
      </c>
    </row>
    <row r="64" spans="1:30" ht="18">
      <c r="A64" s="47" t="s">
        <v>234</v>
      </c>
      <c r="B64" s="55" t="s">
        <v>235</v>
      </c>
      <c r="C64" s="49"/>
      <c r="D64" s="50">
        <v>10</v>
      </c>
      <c r="E64" s="51">
        <v>36</v>
      </c>
      <c r="F64" s="52" t="s">
        <v>62</v>
      </c>
      <c r="G64" s="177" t="s">
        <v>192</v>
      </c>
      <c r="I64" s="131"/>
      <c r="K64" s="121" t="s">
        <v>47</v>
      </c>
      <c r="N64" s="122"/>
      <c r="O64" s="122" t="s">
        <v>76</v>
      </c>
      <c r="P64" s="198" t="s">
        <v>47</v>
      </c>
      <c r="Q64" s="122" t="s">
        <v>41</v>
      </c>
      <c r="W64" s="123">
        <f t="shared" si="0"/>
        <v>0</v>
      </c>
      <c r="X64" s="124">
        <v>2</v>
      </c>
      <c r="Y64" s="125">
        <v>3</v>
      </c>
      <c r="AD64" s="128" t="s">
        <v>137</v>
      </c>
    </row>
    <row r="65" spans="1:30" ht="18">
      <c r="A65" s="47" t="s">
        <v>236</v>
      </c>
      <c r="B65" s="55" t="s">
        <v>237</v>
      </c>
      <c r="C65" s="49"/>
      <c r="D65" s="50">
        <v>10</v>
      </c>
      <c r="E65" s="51">
        <v>37</v>
      </c>
      <c r="F65" s="52" t="s">
        <v>62</v>
      </c>
      <c r="G65" s="177" t="s">
        <v>67</v>
      </c>
      <c r="I65" s="131"/>
      <c r="J65" s="121" t="s">
        <v>76</v>
      </c>
      <c r="N65" s="122"/>
      <c r="O65" s="122" t="s">
        <v>76</v>
      </c>
      <c r="P65" s="198" t="s">
        <v>47</v>
      </c>
      <c r="Q65" s="122"/>
      <c r="R65" s="123">
        <v>1</v>
      </c>
      <c r="W65" s="123">
        <f t="shared" si="0"/>
        <v>1</v>
      </c>
      <c r="X65" s="124">
        <v>5</v>
      </c>
      <c r="Y65" s="125">
        <v>2</v>
      </c>
      <c r="AD65" s="128" t="s">
        <v>141</v>
      </c>
    </row>
    <row r="66" spans="1:30" ht="18">
      <c r="A66" s="47" t="s">
        <v>238</v>
      </c>
      <c r="B66" s="55" t="s">
        <v>239</v>
      </c>
      <c r="C66" s="49"/>
      <c r="D66" s="50">
        <v>10</v>
      </c>
      <c r="E66" s="51">
        <v>38</v>
      </c>
      <c r="F66" s="52" t="s">
        <v>62</v>
      </c>
      <c r="G66" s="177" t="s">
        <v>168</v>
      </c>
      <c r="I66" s="131"/>
      <c r="K66" s="121" t="s">
        <v>47</v>
      </c>
      <c r="N66" s="122"/>
      <c r="O66" s="122" t="s">
        <v>140</v>
      </c>
      <c r="P66" s="198" t="s">
        <v>47</v>
      </c>
      <c r="Q66" s="122" t="s">
        <v>41</v>
      </c>
      <c r="R66" s="123">
        <v>1</v>
      </c>
      <c r="V66" s="123">
        <v>1</v>
      </c>
      <c r="W66" s="123">
        <f t="shared" si="0"/>
        <v>2</v>
      </c>
      <c r="X66" s="124">
        <v>1</v>
      </c>
      <c r="Y66" s="125">
        <v>3</v>
      </c>
      <c r="Z66" s="126" t="s">
        <v>59</v>
      </c>
      <c r="AD66" s="128" t="s">
        <v>240</v>
      </c>
    </row>
    <row r="67" spans="1:30" ht="18">
      <c r="A67" s="47" t="s">
        <v>241</v>
      </c>
      <c r="B67" s="55" t="s">
        <v>242</v>
      </c>
      <c r="C67" s="49"/>
      <c r="D67" s="50">
        <v>10</v>
      </c>
      <c r="E67" s="51">
        <v>39</v>
      </c>
      <c r="F67" s="52" t="s">
        <v>62</v>
      </c>
      <c r="G67" s="177" t="s">
        <v>81</v>
      </c>
      <c r="I67" s="131"/>
      <c r="K67" s="121" t="s">
        <v>47</v>
      </c>
      <c r="N67" s="122"/>
      <c r="O67" s="122" t="s">
        <v>76</v>
      </c>
      <c r="P67" s="198" t="s">
        <v>47</v>
      </c>
      <c r="Q67" s="122"/>
      <c r="T67" s="123">
        <v>1</v>
      </c>
      <c r="U67" s="123">
        <v>1</v>
      </c>
      <c r="V67" s="123">
        <v>1</v>
      </c>
      <c r="W67" s="123">
        <f t="shared" si="0"/>
        <v>3</v>
      </c>
      <c r="X67" s="124">
        <v>2</v>
      </c>
      <c r="Y67" s="125">
        <v>3</v>
      </c>
      <c r="AD67" s="128" t="s">
        <v>93</v>
      </c>
    </row>
    <row r="68" spans="1:30" ht="18">
      <c r="A68" s="47" t="s">
        <v>243</v>
      </c>
      <c r="B68" s="55" t="s">
        <v>244</v>
      </c>
      <c r="C68" s="49"/>
      <c r="D68" s="50">
        <v>10</v>
      </c>
      <c r="E68" s="51">
        <v>40</v>
      </c>
      <c r="F68" s="52" t="s">
        <v>62</v>
      </c>
      <c r="G68" s="177" t="s">
        <v>85</v>
      </c>
      <c r="I68" s="131"/>
      <c r="K68" s="121" t="s">
        <v>47</v>
      </c>
      <c r="N68" s="122"/>
      <c r="O68" s="122"/>
      <c r="P68" s="198" t="s">
        <v>47</v>
      </c>
      <c r="Q68" s="122"/>
      <c r="R68" s="123">
        <v>1</v>
      </c>
      <c r="S68" s="123">
        <v>1</v>
      </c>
      <c r="W68" s="123">
        <f t="shared" si="0"/>
        <v>2</v>
      </c>
      <c r="X68" s="124">
        <v>2</v>
      </c>
      <c r="Y68" s="125">
        <v>5</v>
      </c>
      <c r="AD68" s="128" t="s">
        <v>245</v>
      </c>
    </row>
    <row r="69" spans="1:30" ht="18">
      <c r="A69" s="47" t="s">
        <v>246</v>
      </c>
      <c r="B69" s="55" t="s">
        <v>247</v>
      </c>
      <c r="C69" s="49"/>
      <c r="D69" s="50">
        <v>10</v>
      </c>
      <c r="E69" s="51">
        <v>41</v>
      </c>
      <c r="F69" s="52" t="s">
        <v>62</v>
      </c>
      <c r="G69" s="177" t="s">
        <v>81</v>
      </c>
      <c r="I69" s="131"/>
      <c r="K69" s="121" t="s">
        <v>38</v>
      </c>
      <c r="N69" s="122"/>
      <c r="O69" s="122"/>
      <c r="P69" s="198" t="s">
        <v>38</v>
      </c>
      <c r="Q69" s="122"/>
      <c r="R69" s="123">
        <v>1</v>
      </c>
      <c r="U69" s="123">
        <v>1</v>
      </c>
      <c r="W69" s="123">
        <f t="shared" ref="W69" si="1">SUM(R69:V69)</f>
        <v>2</v>
      </c>
      <c r="X69" s="124">
        <v>2</v>
      </c>
      <c r="Y69" s="125">
        <v>3</v>
      </c>
      <c r="AD69" s="128" t="s">
        <v>93</v>
      </c>
    </row>
    <row r="70" spans="1:30" ht="18">
      <c r="A70" s="47" t="s">
        <v>248</v>
      </c>
      <c r="B70" s="55" t="s">
        <v>249</v>
      </c>
      <c r="C70" s="49"/>
      <c r="D70" s="50">
        <v>10</v>
      </c>
      <c r="E70" s="51">
        <v>42</v>
      </c>
      <c r="F70" s="52" t="s">
        <v>62</v>
      </c>
      <c r="G70" s="177" t="s">
        <v>81</v>
      </c>
      <c r="I70" s="131"/>
      <c r="K70" s="121" t="s">
        <v>38</v>
      </c>
      <c r="N70" s="122" t="s">
        <v>40</v>
      </c>
      <c r="O70" s="122"/>
      <c r="P70" s="198" t="s">
        <v>38</v>
      </c>
      <c r="Q70" s="122"/>
      <c r="T70" s="123">
        <v>1</v>
      </c>
      <c r="U70" s="123">
        <v>1</v>
      </c>
      <c r="W70" s="123">
        <f>SUM(R70:V70)</f>
        <v>2</v>
      </c>
      <c r="X70" s="124">
        <v>2</v>
      </c>
      <c r="Y70" s="125">
        <v>4</v>
      </c>
      <c r="AD70" s="128" t="s">
        <v>250</v>
      </c>
    </row>
    <row r="71" spans="1:30" ht="18">
      <c r="A71" s="47" t="s">
        <v>251</v>
      </c>
      <c r="B71" s="55" t="s">
        <v>252</v>
      </c>
      <c r="C71" s="49"/>
      <c r="D71" s="50">
        <v>10</v>
      </c>
      <c r="E71" s="51">
        <v>43</v>
      </c>
      <c r="F71" s="52" t="s">
        <v>62</v>
      </c>
      <c r="G71" s="177" t="s">
        <v>92</v>
      </c>
      <c r="I71" s="131"/>
      <c r="K71" s="121" t="s">
        <v>47</v>
      </c>
      <c r="N71" s="122" t="s">
        <v>71</v>
      </c>
      <c r="O71" s="122"/>
      <c r="P71" s="198" t="s">
        <v>47</v>
      </c>
      <c r="Q71" s="122" t="s">
        <v>41</v>
      </c>
      <c r="R71" s="123">
        <v>1</v>
      </c>
      <c r="V71" s="123">
        <v>1</v>
      </c>
      <c r="W71" s="123">
        <f t="shared" ref="W71:W134" si="2">SUM(R71:V71)</f>
        <v>2</v>
      </c>
      <c r="X71" s="124">
        <v>2</v>
      </c>
      <c r="Y71" s="125">
        <v>5</v>
      </c>
      <c r="AD71" s="128" t="s">
        <v>253</v>
      </c>
    </row>
    <row r="72" spans="1:30" ht="18">
      <c r="A72" s="47" t="s">
        <v>254</v>
      </c>
      <c r="B72" s="55" t="s">
        <v>255</v>
      </c>
      <c r="C72" s="49"/>
      <c r="D72" s="50">
        <v>10</v>
      </c>
      <c r="E72" s="51">
        <v>44</v>
      </c>
      <c r="F72" s="52" t="s">
        <v>62</v>
      </c>
      <c r="G72" s="177" t="s">
        <v>133</v>
      </c>
      <c r="I72" s="131"/>
      <c r="K72" s="121" t="s">
        <v>38</v>
      </c>
      <c r="N72" s="122" t="s">
        <v>71</v>
      </c>
      <c r="O72" s="122"/>
      <c r="P72" s="198" t="s">
        <v>38</v>
      </c>
      <c r="Q72" s="122"/>
      <c r="R72" s="123">
        <v>1</v>
      </c>
      <c r="U72" s="123">
        <v>1</v>
      </c>
      <c r="V72" s="123">
        <v>1</v>
      </c>
      <c r="W72" s="123">
        <f t="shared" si="2"/>
        <v>3</v>
      </c>
      <c r="X72" s="124">
        <v>2</v>
      </c>
      <c r="Y72" s="125">
        <v>2</v>
      </c>
      <c r="AD72" s="128" t="s">
        <v>214</v>
      </c>
    </row>
    <row r="73" spans="1:30" ht="18">
      <c r="A73" s="47" t="s">
        <v>256</v>
      </c>
      <c r="B73" s="55" t="s">
        <v>257</v>
      </c>
      <c r="C73" s="49"/>
      <c r="D73" s="50">
        <v>10</v>
      </c>
      <c r="E73" s="51">
        <v>45</v>
      </c>
      <c r="F73" s="52" t="s">
        <v>62</v>
      </c>
      <c r="G73" s="177" t="s">
        <v>67</v>
      </c>
      <c r="I73" s="131"/>
      <c r="L73" s="121" t="s">
        <v>41</v>
      </c>
      <c r="N73" s="122" t="s">
        <v>71</v>
      </c>
      <c r="O73" s="122"/>
      <c r="P73" s="198" t="s">
        <v>38</v>
      </c>
      <c r="Q73" s="122" t="s">
        <v>41</v>
      </c>
      <c r="R73" s="123">
        <v>1</v>
      </c>
      <c r="V73" s="123">
        <v>1</v>
      </c>
      <c r="W73" s="123">
        <f t="shared" si="2"/>
        <v>2</v>
      </c>
      <c r="X73" s="124">
        <v>2</v>
      </c>
      <c r="Y73" s="125">
        <v>2</v>
      </c>
      <c r="AD73" s="128" t="s">
        <v>141</v>
      </c>
    </row>
    <row r="74" spans="1:30" ht="18">
      <c r="A74" s="47" t="s">
        <v>258</v>
      </c>
      <c r="B74" s="55" t="s">
        <v>259</v>
      </c>
      <c r="C74" s="49"/>
      <c r="D74" s="50">
        <v>10</v>
      </c>
      <c r="E74" s="51">
        <v>46</v>
      </c>
      <c r="F74" s="52" t="s">
        <v>62</v>
      </c>
      <c r="G74" s="177" t="s">
        <v>67</v>
      </c>
      <c r="I74" s="131"/>
      <c r="K74" s="121" t="s">
        <v>38</v>
      </c>
      <c r="N74" s="122"/>
      <c r="O74" s="122" t="s">
        <v>76</v>
      </c>
      <c r="P74" s="198" t="s">
        <v>96</v>
      </c>
      <c r="Q74" s="122"/>
      <c r="R74" s="123">
        <v>1</v>
      </c>
      <c r="U74" s="123">
        <v>1</v>
      </c>
      <c r="V74" s="123">
        <v>1</v>
      </c>
      <c r="W74" s="123">
        <f t="shared" si="2"/>
        <v>3</v>
      </c>
      <c r="X74" s="124">
        <v>2</v>
      </c>
      <c r="Y74" s="125">
        <v>4</v>
      </c>
      <c r="AD74" s="128" t="s">
        <v>260</v>
      </c>
    </row>
    <row r="75" spans="1:30" ht="18">
      <c r="A75" s="47" t="s">
        <v>261</v>
      </c>
      <c r="B75" s="55" t="s">
        <v>262</v>
      </c>
      <c r="C75" s="49"/>
      <c r="D75" s="50">
        <v>10</v>
      </c>
      <c r="E75" s="51">
        <v>47</v>
      </c>
      <c r="F75" s="52" t="s">
        <v>62</v>
      </c>
      <c r="G75" s="177" t="s">
        <v>81</v>
      </c>
      <c r="I75" s="131"/>
      <c r="K75" s="121" t="s">
        <v>47</v>
      </c>
      <c r="N75" s="122" t="s">
        <v>71</v>
      </c>
      <c r="O75" s="122" t="s">
        <v>76</v>
      </c>
      <c r="P75" s="198" t="s">
        <v>47</v>
      </c>
      <c r="Q75" s="122" t="s">
        <v>41</v>
      </c>
      <c r="V75" s="123">
        <v>1</v>
      </c>
      <c r="W75" s="123">
        <f t="shared" si="2"/>
        <v>1</v>
      </c>
      <c r="X75" s="124">
        <v>2</v>
      </c>
      <c r="Y75" s="125">
        <v>3</v>
      </c>
      <c r="AD75" s="128" t="s">
        <v>93</v>
      </c>
    </row>
    <row r="76" spans="1:30" ht="18">
      <c r="A76" s="47" t="s">
        <v>263</v>
      </c>
      <c r="B76" s="55" t="s">
        <v>264</v>
      </c>
      <c r="C76" s="49"/>
      <c r="D76" s="50">
        <v>10</v>
      </c>
      <c r="E76" s="51">
        <v>48</v>
      </c>
      <c r="F76" s="52" t="s">
        <v>62</v>
      </c>
      <c r="G76" s="177" t="s">
        <v>67</v>
      </c>
      <c r="I76" s="131"/>
      <c r="K76" s="121" t="s">
        <v>47</v>
      </c>
      <c r="N76" s="122" t="s">
        <v>71</v>
      </c>
      <c r="O76" s="122" t="s">
        <v>76</v>
      </c>
      <c r="P76" s="198" t="s">
        <v>47</v>
      </c>
      <c r="Q76" s="122"/>
      <c r="W76" s="123">
        <f t="shared" si="2"/>
        <v>0</v>
      </c>
      <c r="X76" s="124">
        <v>5</v>
      </c>
      <c r="Y76" s="125">
        <v>3</v>
      </c>
      <c r="AD76" s="128" t="s">
        <v>141</v>
      </c>
    </row>
    <row r="77" spans="1:30" ht="18">
      <c r="A77" s="47" t="s">
        <v>265</v>
      </c>
      <c r="B77" s="55" t="s">
        <v>266</v>
      </c>
      <c r="C77" s="49"/>
      <c r="D77" s="50">
        <v>10</v>
      </c>
      <c r="E77" s="51">
        <v>49</v>
      </c>
      <c r="F77" s="52" t="s">
        <v>62</v>
      </c>
      <c r="G77" s="177" t="s">
        <v>192</v>
      </c>
      <c r="I77" s="131"/>
      <c r="M77" s="121" t="s">
        <v>39</v>
      </c>
      <c r="N77" s="122" t="s">
        <v>40</v>
      </c>
      <c r="O77" s="122"/>
      <c r="P77" s="198" t="s">
        <v>47</v>
      </c>
      <c r="Q77" s="122"/>
      <c r="U77" s="123">
        <v>1</v>
      </c>
      <c r="V77" s="123">
        <v>1</v>
      </c>
      <c r="W77" s="123">
        <f t="shared" si="2"/>
        <v>2</v>
      </c>
      <c r="X77" s="124">
        <v>1</v>
      </c>
      <c r="Y77" s="125">
        <v>2</v>
      </c>
      <c r="AD77" s="128">
        <v>5</v>
      </c>
    </row>
    <row r="78" spans="1:30" ht="18">
      <c r="A78" s="47" t="s">
        <v>267</v>
      </c>
      <c r="B78" s="55" t="s">
        <v>268</v>
      </c>
      <c r="C78" s="49"/>
      <c r="D78" s="50">
        <v>10</v>
      </c>
      <c r="E78" s="51">
        <v>50</v>
      </c>
      <c r="F78" s="52" t="s">
        <v>62</v>
      </c>
      <c r="G78" s="177" t="s">
        <v>192</v>
      </c>
      <c r="I78" s="131"/>
      <c r="K78" s="121" t="s">
        <v>38</v>
      </c>
      <c r="N78" s="122" t="s">
        <v>71</v>
      </c>
      <c r="O78" s="122" t="s">
        <v>76</v>
      </c>
      <c r="P78" s="198" t="s">
        <v>38</v>
      </c>
      <c r="Q78" s="122" t="s">
        <v>41</v>
      </c>
      <c r="V78" s="123">
        <v>1</v>
      </c>
      <c r="W78" s="123">
        <f t="shared" si="2"/>
        <v>1</v>
      </c>
      <c r="X78" s="124">
        <v>2</v>
      </c>
      <c r="Y78" s="125">
        <v>2</v>
      </c>
      <c r="AD78" s="128" t="s">
        <v>93</v>
      </c>
    </row>
    <row r="79" spans="1:30" ht="18">
      <c r="A79" s="47" t="s">
        <v>269</v>
      </c>
      <c r="B79" s="55" t="s">
        <v>270</v>
      </c>
      <c r="C79" s="49"/>
      <c r="D79" s="50">
        <v>10</v>
      </c>
      <c r="E79" s="51">
        <v>51</v>
      </c>
      <c r="F79" s="52" t="s">
        <v>62</v>
      </c>
      <c r="G79" s="177" t="s">
        <v>168</v>
      </c>
      <c r="I79" s="131"/>
      <c r="K79" s="121" t="s">
        <v>47</v>
      </c>
      <c r="N79" s="122"/>
      <c r="O79" s="122" t="s">
        <v>76</v>
      </c>
      <c r="P79" s="198" t="s">
        <v>47</v>
      </c>
      <c r="Q79" s="122"/>
      <c r="R79" s="123">
        <v>1</v>
      </c>
      <c r="W79" s="123">
        <f t="shared" si="2"/>
        <v>1</v>
      </c>
      <c r="X79" s="124">
        <v>2</v>
      </c>
      <c r="Y79" s="125">
        <v>3</v>
      </c>
      <c r="AD79" s="128" t="s">
        <v>181</v>
      </c>
    </row>
    <row r="80" spans="1:30" ht="18">
      <c r="A80" s="47" t="s">
        <v>271</v>
      </c>
      <c r="B80" s="55" t="s">
        <v>272</v>
      </c>
      <c r="C80" s="49" t="s">
        <v>273</v>
      </c>
      <c r="D80" s="50">
        <v>10</v>
      </c>
      <c r="E80" s="51">
        <v>52</v>
      </c>
      <c r="F80" s="52" t="s">
        <v>62</v>
      </c>
      <c r="G80" s="177" t="s">
        <v>192</v>
      </c>
      <c r="H80" s="53" t="s">
        <v>274</v>
      </c>
      <c r="I80" s="131"/>
      <c r="K80" s="121" t="s">
        <v>47</v>
      </c>
      <c r="N80" s="122" t="s">
        <v>40</v>
      </c>
      <c r="O80" s="122"/>
      <c r="P80" s="198" t="s">
        <v>96</v>
      </c>
      <c r="Q80" s="122"/>
      <c r="T80" s="123">
        <v>1</v>
      </c>
      <c r="U80" s="123">
        <v>1</v>
      </c>
      <c r="W80" s="123">
        <f t="shared" si="2"/>
        <v>2</v>
      </c>
      <c r="X80" s="124">
        <v>2</v>
      </c>
      <c r="Y80" s="125">
        <v>3</v>
      </c>
      <c r="AD80" s="128" t="s">
        <v>275</v>
      </c>
    </row>
    <row r="81" spans="1:30" ht="18">
      <c r="A81" s="47" t="s">
        <v>276</v>
      </c>
      <c r="B81" s="55" t="s">
        <v>277</v>
      </c>
      <c r="C81" s="49"/>
      <c r="D81" s="50">
        <v>10</v>
      </c>
      <c r="E81" s="51">
        <v>53</v>
      </c>
      <c r="F81" s="52" t="s">
        <v>62</v>
      </c>
      <c r="G81" s="177" t="s">
        <v>278</v>
      </c>
      <c r="I81" s="131"/>
      <c r="K81" s="121" t="s">
        <v>38</v>
      </c>
      <c r="N81" s="122"/>
      <c r="O81" s="122"/>
      <c r="P81" s="198" t="s">
        <v>38</v>
      </c>
      <c r="Q81" s="122"/>
      <c r="R81" s="123">
        <v>1</v>
      </c>
      <c r="U81" s="123">
        <v>1</v>
      </c>
      <c r="V81" s="123">
        <v>1</v>
      </c>
      <c r="W81" s="123">
        <f t="shared" si="2"/>
        <v>3</v>
      </c>
      <c r="X81" s="124">
        <v>2</v>
      </c>
      <c r="Y81" s="125">
        <v>2</v>
      </c>
      <c r="AD81" s="128" t="s">
        <v>214</v>
      </c>
    </row>
    <row r="82" spans="1:30" ht="18">
      <c r="A82" s="47" t="s">
        <v>279</v>
      </c>
      <c r="B82" s="55" t="s">
        <v>280</v>
      </c>
      <c r="C82" s="49"/>
      <c r="D82" s="50">
        <v>10</v>
      </c>
      <c r="E82" s="51">
        <v>54</v>
      </c>
      <c r="F82" s="52" t="s">
        <v>62</v>
      </c>
      <c r="G82" s="177" t="s">
        <v>168</v>
      </c>
      <c r="I82" s="131"/>
      <c r="K82" s="121" t="s">
        <v>47</v>
      </c>
      <c r="N82" s="122"/>
      <c r="O82" s="122" t="s">
        <v>76</v>
      </c>
      <c r="P82" s="198" t="s">
        <v>47</v>
      </c>
      <c r="Q82" s="122"/>
      <c r="W82" s="123">
        <f t="shared" si="2"/>
        <v>0</v>
      </c>
      <c r="X82" s="124">
        <v>4</v>
      </c>
      <c r="Y82" s="125">
        <v>3</v>
      </c>
    </row>
    <row r="83" spans="1:30" ht="18">
      <c r="A83" s="47" t="s">
        <v>281</v>
      </c>
      <c r="B83" s="55" t="s">
        <v>282</v>
      </c>
      <c r="C83" s="49"/>
      <c r="D83" s="50">
        <v>10</v>
      </c>
      <c r="E83" s="51">
        <v>55</v>
      </c>
      <c r="F83" s="52" t="s">
        <v>62</v>
      </c>
      <c r="G83" s="177" t="s">
        <v>111</v>
      </c>
      <c r="I83" s="131"/>
      <c r="K83" s="121" t="s">
        <v>47</v>
      </c>
      <c r="N83" s="122" t="s">
        <v>71</v>
      </c>
      <c r="O83" s="122" t="s">
        <v>76</v>
      </c>
      <c r="P83" s="198" t="s">
        <v>47</v>
      </c>
      <c r="Q83" s="122" t="s">
        <v>41</v>
      </c>
      <c r="R83" s="123">
        <v>1</v>
      </c>
      <c r="W83" s="123">
        <f t="shared" si="2"/>
        <v>1</v>
      </c>
      <c r="X83" s="124">
        <v>2</v>
      </c>
      <c r="Y83" s="125">
        <v>5</v>
      </c>
      <c r="AD83" s="128" t="s">
        <v>245</v>
      </c>
    </row>
    <row r="84" spans="1:30" ht="18">
      <c r="A84" s="47" t="s">
        <v>283</v>
      </c>
      <c r="B84" s="55" t="s">
        <v>284</v>
      </c>
      <c r="C84" s="49"/>
      <c r="D84" s="50">
        <v>10</v>
      </c>
      <c r="E84" s="51">
        <v>56</v>
      </c>
      <c r="F84" s="52" t="s">
        <v>62</v>
      </c>
      <c r="G84" s="178" t="s">
        <v>285</v>
      </c>
      <c r="I84" s="131"/>
      <c r="M84" s="121" t="s">
        <v>39</v>
      </c>
      <c r="N84" s="122"/>
      <c r="O84" s="122"/>
      <c r="P84" s="198" t="s">
        <v>38</v>
      </c>
      <c r="Q84" s="122"/>
      <c r="R84" s="123">
        <v>1</v>
      </c>
      <c r="T84" s="123">
        <v>1</v>
      </c>
      <c r="U84" s="123">
        <v>1</v>
      </c>
      <c r="W84" s="123">
        <f t="shared" si="2"/>
        <v>3</v>
      </c>
      <c r="X84" s="124">
        <v>5</v>
      </c>
      <c r="Y84" s="125">
        <v>3</v>
      </c>
      <c r="AD84" s="128" t="s">
        <v>214</v>
      </c>
    </row>
    <row r="85" spans="1:30" ht="18">
      <c r="A85" s="47" t="s">
        <v>286</v>
      </c>
      <c r="B85" s="55" t="s">
        <v>287</v>
      </c>
      <c r="C85" s="49"/>
      <c r="D85" s="50">
        <v>10</v>
      </c>
      <c r="E85" s="51">
        <v>57</v>
      </c>
      <c r="F85" s="52" t="s">
        <v>62</v>
      </c>
      <c r="G85" s="177" t="s">
        <v>92</v>
      </c>
      <c r="I85" s="131"/>
      <c r="K85" s="121" t="s">
        <v>47</v>
      </c>
      <c r="N85" s="122"/>
      <c r="O85" s="122" t="s">
        <v>76</v>
      </c>
      <c r="P85" s="198" t="s">
        <v>47</v>
      </c>
      <c r="Q85" s="122"/>
      <c r="W85" s="123">
        <f t="shared" si="2"/>
        <v>0</v>
      </c>
      <c r="X85" s="124">
        <v>2</v>
      </c>
      <c r="Y85" s="125">
        <v>5</v>
      </c>
      <c r="AD85" s="128" t="s">
        <v>288</v>
      </c>
    </row>
    <row r="86" spans="1:30" ht="18">
      <c r="A86" s="47" t="s">
        <v>289</v>
      </c>
      <c r="B86" s="55" t="s">
        <v>290</v>
      </c>
      <c r="C86" s="49"/>
      <c r="D86" s="50">
        <v>10</v>
      </c>
      <c r="E86" s="51">
        <v>58</v>
      </c>
      <c r="F86" s="52" t="s">
        <v>62</v>
      </c>
      <c r="G86" s="177" t="s">
        <v>291</v>
      </c>
      <c r="I86" s="131"/>
      <c r="K86" s="121" t="s">
        <v>47</v>
      </c>
      <c r="N86" s="122"/>
      <c r="O86" s="122"/>
      <c r="P86" s="198" t="s">
        <v>47</v>
      </c>
      <c r="Q86" s="122"/>
      <c r="R86" s="123">
        <v>1</v>
      </c>
      <c r="W86" s="123">
        <f t="shared" si="2"/>
        <v>1</v>
      </c>
      <c r="X86" s="124">
        <v>2</v>
      </c>
      <c r="Y86" s="125">
        <v>3</v>
      </c>
      <c r="AD86" s="128" t="s">
        <v>141</v>
      </c>
    </row>
    <row r="87" spans="1:30" ht="18">
      <c r="A87" s="47" t="s">
        <v>292</v>
      </c>
      <c r="B87" s="55" t="s">
        <v>293</v>
      </c>
      <c r="C87" s="49"/>
      <c r="D87" s="50">
        <v>10</v>
      </c>
      <c r="E87" s="51">
        <v>59</v>
      </c>
      <c r="F87" s="52" t="s">
        <v>62</v>
      </c>
      <c r="G87" s="177" t="s">
        <v>92</v>
      </c>
      <c r="I87" s="131"/>
      <c r="K87" s="121" t="s">
        <v>47</v>
      </c>
      <c r="N87" s="122" t="s">
        <v>40</v>
      </c>
      <c r="O87" s="122"/>
      <c r="P87" s="198" t="s">
        <v>47</v>
      </c>
      <c r="Q87" s="122"/>
      <c r="W87" s="123">
        <f t="shared" si="2"/>
        <v>0</v>
      </c>
      <c r="X87" s="124">
        <v>2</v>
      </c>
      <c r="Y87" s="125">
        <v>2</v>
      </c>
      <c r="AD87" s="128" t="s">
        <v>141</v>
      </c>
    </row>
    <row r="88" spans="1:30" ht="18">
      <c r="A88" s="47" t="s">
        <v>294</v>
      </c>
      <c r="B88" s="55" t="s">
        <v>295</v>
      </c>
      <c r="C88" s="49"/>
      <c r="D88" s="50">
        <v>10</v>
      </c>
      <c r="E88" s="51">
        <v>60</v>
      </c>
      <c r="F88" s="52" t="s">
        <v>62</v>
      </c>
      <c r="G88" s="177" t="s">
        <v>168</v>
      </c>
      <c r="I88" s="131"/>
      <c r="K88" s="121" t="s">
        <v>47</v>
      </c>
      <c r="N88" s="122"/>
      <c r="O88" s="122"/>
      <c r="P88" s="198" t="s">
        <v>47</v>
      </c>
      <c r="Q88" s="122"/>
      <c r="R88" s="123">
        <v>1</v>
      </c>
      <c r="W88" s="123">
        <f t="shared" si="2"/>
        <v>1</v>
      </c>
      <c r="X88" s="124">
        <v>2</v>
      </c>
      <c r="Y88" s="125">
        <v>3</v>
      </c>
      <c r="AD88" s="128" t="s">
        <v>141</v>
      </c>
    </row>
    <row r="89" spans="1:30" ht="18">
      <c r="A89" s="47" t="s">
        <v>296</v>
      </c>
      <c r="B89" s="55" t="s">
        <v>297</v>
      </c>
      <c r="C89" s="49"/>
      <c r="D89" s="50">
        <v>10</v>
      </c>
      <c r="E89" s="51">
        <v>61</v>
      </c>
      <c r="F89" s="52" t="s">
        <v>62</v>
      </c>
      <c r="G89" s="177" t="s">
        <v>92</v>
      </c>
      <c r="I89" s="131"/>
      <c r="K89" s="121" t="s">
        <v>47</v>
      </c>
      <c r="N89" s="122"/>
      <c r="O89" s="122" t="s">
        <v>76</v>
      </c>
      <c r="P89" s="198" t="s">
        <v>47</v>
      </c>
      <c r="Q89" s="122"/>
      <c r="W89" s="123">
        <f t="shared" si="2"/>
        <v>0</v>
      </c>
      <c r="X89" s="124">
        <v>2</v>
      </c>
      <c r="Y89" s="125">
        <v>5</v>
      </c>
      <c r="AD89" s="128" t="s">
        <v>105</v>
      </c>
    </row>
    <row r="90" spans="1:30" ht="18">
      <c r="A90" s="47" t="s">
        <v>298</v>
      </c>
      <c r="B90" s="55" t="s">
        <v>299</v>
      </c>
      <c r="C90" s="49"/>
      <c r="D90" s="50">
        <v>10</v>
      </c>
      <c r="E90" s="51">
        <v>62</v>
      </c>
      <c r="F90" s="52" t="s">
        <v>62</v>
      </c>
      <c r="G90" s="177" t="s">
        <v>192</v>
      </c>
      <c r="I90" s="131"/>
      <c r="K90" s="121" t="s">
        <v>47</v>
      </c>
      <c r="N90" s="122" t="s">
        <v>71</v>
      </c>
      <c r="O90" s="122"/>
      <c r="P90" s="198" t="s">
        <v>47</v>
      </c>
      <c r="Q90" s="122" t="s">
        <v>41</v>
      </c>
      <c r="R90" s="123">
        <v>1</v>
      </c>
      <c r="U90" s="123">
        <v>1</v>
      </c>
      <c r="V90" s="123">
        <v>1</v>
      </c>
      <c r="W90" s="123">
        <f t="shared" si="2"/>
        <v>3</v>
      </c>
      <c r="X90" s="124">
        <v>2</v>
      </c>
      <c r="Y90" s="125">
        <v>3</v>
      </c>
      <c r="AD90" s="128" t="s">
        <v>300</v>
      </c>
    </row>
    <row r="91" spans="1:30" ht="18">
      <c r="A91" s="47" t="s">
        <v>301</v>
      </c>
      <c r="B91" s="55" t="s">
        <v>302</v>
      </c>
      <c r="C91" s="49"/>
      <c r="D91" s="50">
        <v>10</v>
      </c>
      <c r="E91" s="51">
        <v>63</v>
      </c>
      <c r="F91" s="52" t="s">
        <v>62</v>
      </c>
      <c r="G91" s="177" t="s">
        <v>192</v>
      </c>
      <c r="I91" s="131"/>
      <c r="K91" s="121" t="s">
        <v>47</v>
      </c>
      <c r="N91" s="122"/>
      <c r="O91" s="122" t="s">
        <v>76</v>
      </c>
      <c r="P91" s="198" t="s">
        <v>47</v>
      </c>
      <c r="Q91" s="122" t="s">
        <v>41</v>
      </c>
      <c r="W91" s="123">
        <f t="shared" si="2"/>
        <v>0</v>
      </c>
      <c r="X91" s="124">
        <v>2</v>
      </c>
      <c r="Y91" s="125">
        <v>3</v>
      </c>
      <c r="AD91" s="128" t="s">
        <v>137</v>
      </c>
    </row>
    <row r="92" spans="1:30" ht="18">
      <c r="A92" s="47" t="s">
        <v>303</v>
      </c>
      <c r="B92" s="55" t="s">
        <v>304</v>
      </c>
      <c r="C92" s="49"/>
      <c r="D92" s="50">
        <v>10</v>
      </c>
      <c r="E92" s="51">
        <v>64</v>
      </c>
      <c r="F92" s="52" t="s">
        <v>62</v>
      </c>
      <c r="G92" s="177" t="s">
        <v>81</v>
      </c>
      <c r="I92" s="131"/>
      <c r="K92" s="121" t="s">
        <v>38</v>
      </c>
      <c r="N92" s="122" t="s">
        <v>40</v>
      </c>
      <c r="O92" s="122"/>
      <c r="P92" s="198" t="s">
        <v>38</v>
      </c>
      <c r="Q92" s="122"/>
      <c r="T92" s="123">
        <v>1</v>
      </c>
      <c r="U92" s="123">
        <v>1</v>
      </c>
      <c r="W92" s="123">
        <f t="shared" si="2"/>
        <v>2</v>
      </c>
      <c r="X92" s="124">
        <v>2</v>
      </c>
      <c r="Y92" s="125">
        <v>4</v>
      </c>
      <c r="AD92" s="128" t="s">
        <v>253</v>
      </c>
    </row>
    <row r="93" spans="1:30" ht="18">
      <c r="A93" s="47" t="s">
        <v>305</v>
      </c>
      <c r="B93" s="55" t="s">
        <v>306</v>
      </c>
      <c r="C93" s="49"/>
      <c r="D93" s="50">
        <v>10</v>
      </c>
      <c r="E93" s="51">
        <v>65</v>
      </c>
      <c r="F93" s="52" t="s">
        <v>62</v>
      </c>
      <c r="G93" s="177" t="s">
        <v>307</v>
      </c>
      <c r="I93" s="131"/>
      <c r="M93" s="121" t="s">
        <v>39</v>
      </c>
      <c r="N93" s="122"/>
      <c r="O93" s="122" t="s">
        <v>76</v>
      </c>
      <c r="P93" s="198" t="s">
        <v>38</v>
      </c>
      <c r="Q93" s="122"/>
      <c r="T93" s="123">
        <v>1</v>
      </c>
      <c r="U93" s="123">
        <v>1</v>
      </c>
      <c r="W93" s="123">
        <f t="shared" si="2"/>
        <v>2</v>
      </c>
      <c r="X93" s="124">
        <v>5</v>
      </c>
      <c r="Y93" s="125">
        <v>3</v>
      </c>
      <c r="AD93" s="128" t="s">
        <v>82</v>
      </c>
    </row>
    <row r="94" spans="1:30" ht="18">
      <c r="A94" s="47" t="s">
        <v>308</v>
      </c>
      <c r="B94" s="55" t="s">
        <v>309</v>
      </c>
      <c r="C94" s="49"/>
      <c r="D94" s="50">
        <v>10</v>
      </c>
      <c r="E94" s="51">
        <v>66</v>
      </c>
      <c r="F94" s="52" t="s">
        <v>62</v>
      </c>
      <c r="G94" s="177" t="s">
        <v>81</v>
      </c>
      <c r="I94" s="131"/>
      <c r="K94" s="121" t="s">
        <v>47</v>
      </c>
      <c r="N94" s="122" t="s">
        <v>53</v>
      </c>
      <c r="O94" s="122" t="s">
        <v>76</v>
      </c>
      <c r="P94" s="198" t="s">
        <v>47</v>
      </c>
      <c r="Q94" s="122" t="s">
        <v>41</v>
      </c>
      <c r="S94" s="123">
        <v>1</v>
      </c>
      <c r="V94" s="123">
        <v>1</v>
      </c>
      <c r="W94" s="123">
        <f t="shared" si="2"/>
        <v>2</v>
      </c>
      <c r="X94" s="124">
        <v>2</v>
      </c>
      <c r="Y94" s="125">
        <v>2</v>
      </c>
      <c r="AD94" s="128" t="s">
        <v>310</v>
      </c>
    </row>
    <row r="95" spans="1:30" ht="18">
      <c r="A95" s="47" t="s">
        <v>311</v>
      </c>
      <c r="B95" s="55" t="s">
        <v>312</v>
      </c>
      <c r="C95" s="49"/>
      <c r="D95" s="50">
        <v>10</v>
      </c>
      <c r="E95" s="51">
        <v>67</v>
      </c>
      <c r="F95" s="52" t="s">
        <v>62</v>
      </c>
      <c r="G95" s="177" t="s">
        <v>81</v>
      </c>
      <c r="I95" s="131"/>
      <c r="K95" s="121" t="s">
        <v>38</v>
      </c>
      <c r="N95" s="122"/>
      <c r="O95" s="122" t="s">
        <v>76</v>
      </c>
      <c r="P95" s="198" t="s">
        <v>38</v>
      </c>
      <c r="Q95" s="122" t="s">
        <v>41</v>
      </c>
      <c r="W95" s="123">
        <f t="shared" si="2"/>
        <v>0</v>
      </c>
      <c r="X95" s="124">
        <v>1</v>
      </c>
      <c r="Y95" s="125">
        <v>2</v>
      </c>
      <c r="AD95" s="128" t="s">
        <v>313</v>
      </c>
    </row>
    <row r="96" spans="1:30" ht="18">
      <c r="A96" s="47" t="s">
        <v>314</v>
      </c>
      <c r="B96" s="55" t="s">
        <v>315</v>
      </c>
      <c r="C96" s="49" t="s">
        <v>316</v>
      </c>
      <c r="D96" s="50">
        <v>10</v>
      </c>
      <c r="E96" s="51">
        <v>68</v>
      </c>
      <c r="F96" s="52" t="s">
        <v>62</v>
      </c>
      <c r="G96" s="177" t="s">
        <v>85</v>
      </c>
      <c r="H96" s="53" t="s">
        <v>317</v>
      </c>
      <c r="I96" s="131"/>
      <c r="K96" s="121" t="s">
        <v>47</v>
      </c>
      <c r="N96" s="122"/>
      <c r="O96" s="122" t="s">
        <v>76</v>
      </c>
      <c r="P96" s="198" t="s">
        <v>47</v>
      </c>
      <c r="Q96" s="122"/>
      <c r="U96" s="123">
        <v>1</v>
      </c>
      <c r="V96" s="123">
        <v>1</v>
      </c>
      <c r="W96" s="123">
        <f t="shared" si="2"/>
        <v>2</v>
      </c>
      <c r="X96" s="124">
        <v>2</v>
      </c>
      <c r="Y96" s="125">
        <v>3</v>
      </c>
      <c r="AD96" s="128" t="s">
        <v>82</v>
      </c>
    </row>
    <row r="97" spans="1:30" ht="18">
      <c r="A97" s="47" t="s">
        <v>318</v>
      </c>
      <c r="B97" s="55" t="s">
        <v>319</v>
      </c>
      <c r="C97" s="49" t="s">
        <v>320</v>
      </c>
      <c r="D97" s="50">
        <v>10</v>
      </c>
      <c r="E97" s="51">
        <v>69</v>
      </c>
      <c r="F97" s="52" t="s">
        <v>62</v>
      </c>
      <c r="G97" s="177" t="s">
        <v>192</v>
      </c>
      <c r="H97" s="53" t="s">
        <v>321</v>
      </c>
      <c r="I97" s="131"/>
      <c r="K97" s="121" t="s">
        <v>47</v>
      </c>
      <c r="N97" s="122" t="s">
        <v>40</v>
      </c>
      <c r="O97" s="122" t="s">
        <v>76</v>
      </c>
      <c r="P97" s="198" t="s">
        <v>47</v>
      </c>
      <c r="Q97" s="122"/>
      <c r="U97" s="123">
        <v>1</v>
      </c>
      <c r="W97" s="123">
        <f t="shared" si="2"/>
        <v>1</v>
      </c>
      <c r="X97" s="124">
        <v>2</v>
      </c>
      <c r="Y97" s="125">
        <v>3</v>
      </c>
      <c r="AD97" s="128" t="s">
        <v>128</v>
      </c>
    </row>
    <row r="98" spans="1:30" ht="18">
      <c r="A98" s="47" t="s">
        <v>322</v>
      </c>
      <c r="B98" s="55" t="s">
        <v>323</v>
      </c>
      <c r="C98" s="49" t="s">
        <v>324</v>
      </c>
      <c r="D98" s="50">
        <v>10</v>
      </c>
      <c r="E98" s="51">
        <v>70</v>
      </c>
      <c r="F98" s="52" t="s">
        <v>62</v>
      </c>
      <c r="G98" s="177" t="s">
        <v>85</v>
      </c>
      <c r="H98" s="53" t="s">
        <v>81</v>
      </c>
      <c r="I98" s="131"/>
      <c r="L98" s="121" t="s">
        <v>41</v>
      </c>
      <c r="N98" s="122"/>
      <c r="O98" s="122" t="s">
        <v>76</v>
      </c>
      <c r="P98" s="198" t="s">
        <v>38</v>
      </c>
      <c r="Q98" s="122" t="s">
        <v>41</v>
      </c>
      <c r="R98" s="123">
        <v>1</v>
      </c>
      <c r="U98" s="123">
        <v>1</v>
      </c>
      <c r="V98" s="123">
        <v>1</v>
      </c>
      <c r="W98" s="123">
        <f t="shared" si="2"/>
        <v>3</v>
      </c>
      <c r="X98" s="124">
        <v>4</v>
      </c>
      <c r="Y98" s="125">
        <v>4</v>
      </c>
      <c r="AD98" s="128" t="s">
        <v>225</v>
      </c>
    </row>
    <row r="99" spans="1:30" ht="18">
      <c r="A99" s="47" t="s">
        <v>325</v>
      </c>
      <c r="B99" s="55" t="s">
        <v>326</v>
      </c>
      <c r="C99" s="49"/>
      <c r="D99" s="50">
        <v>10</v>
      </c>
      <c r="E99" s="51">
        <v>71</v>
      </c>
      <c r="F99" s="52" t="s">
        <v>62</v>
      </c>
      <c r="G99" s="178" t="s">
        <v>327</v>
      </c>
      <c r="I99" s="132"/>
      <c r="K99" s="121" t="s">
        <v>47</v>
      </c>
      <c r="N99" s="122" t="s">
        <v>40</v>
      </c>
      <c r="O99" s="122" t="s">
        <v>76</v>
      </c>
      <c r="P99" s="198" t="s">
        <v>47</v>
      </c>
      <c r="Q99" s="122"/>
      <c r="S99" s="123">
        <v>1</v>
      </c>
      <c r="U99" s="123">
        <v>1</v>
      </c>
      <c r="W99" s="123">
        <f t="shared" si="2"/>
        <v>2</v>
      </c>
      <c r="X99" s="124">
        <v>5</v>
      </c>
      <c r="Y99" s="125">
        <v>5</v>
      </c>
      <c r="AD99" s="128" t="s">
        <v>78</v>
      </c>
    </row>
    <row r="100" spans="1:30" ht="18">
      <c r="A100" s="47" t="s">
        <v>328</v>
      </c>
      <c r="B100" s="55" t="s">
        <v>329</v>
      </c>
      <c r="C100" s="49"/>
      <c r="D100" s="50">
        <v>10</v>
      </c>
      <c r="E100" s="51">
        <v>72</v>
      </c>
      <c r="F100" s="52" t="s">
        <v>62</v>
      </c>
      <c r="G100" s="177" t="s">
        <v>37</v>
      </c>
      <c r="I100" s="131"/>
      <c r="K100" s="121" t="s">
        <v>47</v>
      </c>
      <c r="N100" s="122" t="s">
        <v>71</v>
      </c>
      <c r="O100" s="122" t="s">
        <v>76</v>
      </c>
      <c r="P100" s="198" t="s">
        <v>47</v>
      </c>
      <c r="Q100" s="122"/>
      <c r="U100" s="123">
        <v>1</v>
      </c>
      <c r="V100" s="123">
        <v>1</v>
      </c>
      <c r="W100" s="123">
        <f t="shared" si="2"/>
        <v>2</v>
      </c>
      <c r="X100" s="124">
        <v>2</v>
      </c>
      <c r="Y100" s="125">
        <v>3</v>
      </c>
      <c r="AD100" s="128" t="s">
        <v>114</v>
      </c>
    </row>
    <row r="101" spans="1:30" ht="18">
      <c r="A101" s="47" t="s">
        <v>330</v>
      </c>
      <c r="B101" s="55" t="s">
        <v>331</v>
      </c>
      <c r="C101" s="49" t="s">
        <v>332</v>
      </c>
      <c r="D101" s="50">
        <v>10</v>
      </c>
      <c r="E101" s="51">
        <v>73</v>
      </c>
      <c r="F101" s="52" t="s">
        <v>62</v>
      </c>
      <c r="G101" s="177" t="s">
        <v>81</v>
      </c>
      <c r="H101" s="53" t="s">
        <v>333</v>
      </c>
      <c r="I101" s="131"/>
      <c r="K101" s="121" t="s">
        <v>47</v>
      </c>
      <c r="N101" s="122" t="s">
        <v>71</v>
      </c>
      <c r="O101" s="122" t="s">
        <v>76</v>
      </c>
      <c r="P101" s="198" t="s">
        <v>47</v>
      </c>
      <c r="Q101" s="122"/>
      <c r="S101" s="123">
        <v>1</v>
      </c>
      <c r="T101" s="123">
        <v>1</v>
      </c>
      <c r="U101" s="123">
        <v>1</v>
      </c>
      <c r="W101" s="123">
        <f t="shared" si="2"/>
        <v>3</v>
      </c>
      <c r="X101" s="124">
        <v>2</v>
      </c>
      <c r="Y101" s="125">
        <v>5</v>
      </c>
      <c r="AD101" s="128" t="s">
        <v>253</v>
      </c>
    </row>
    <row r="102" spans="1:30" ht="18">
      <c r="A102" s="47" t="s">
        <v>334</v>
      </c>
      <c r="B102" s="55" t="s">
        <v>335</v>
      </c>
      <c r="C102" s="49"/>
      <c r="D102" s="50">
        <v>10</v>
      </c>
      <c r="E102" s="51">
        <v>74</v>
      </c>
      <c r="F102" s="52" t="s">
        <v>62</v>
      </c>
      <c r="G102" s="177" t="s">
        <v>81</v>
      </c>
      <c r="I102" s="131"/>
      <c r="K102" s="121" t="s">
        <v>38</v>
      </c>
      <c r="N102" s="122" t="s">
        <v>40</v>
      </c>
      <c r="O102" s="122"/>
      <c r="P102" s="198" t="s">
        <v>38</v>
      </c>
      <c r="Q102" s="122"/>
      <c r="T102" s="123">
        <v>1</v>
      </c>
      <c r="U102" s="123">
        <v>1</v>
      </c>
      <c r="W102" s="123">
        <f t="shared" si="2"/>
        <v>2</v>
      </c>
      <c r="X102" s="124">
        <v>2</v>
      </c>
      <c r="Y102" s="125">
        <v>1</v>
      </c>
      <c r="AD102" s="128" t="s">
        <v>154</v>
      </c>
    </row>
    <row r="103" spans="1:30" ht="18">
      <c r="A103" s="47" t="s">
        <v>336</v>
      </c>
      <c r="B103" s="55" t="s">
        <v>337</v>
      </c>
      <c r="C103" s="49"/>
      <c r="D103" s="50">
        <v>10</v>
      </c>
      <c r="E103" s="51">
        <v>75</v>
      </c>
      <c r="F103" s="52" t="s">
        <v>62</v>
      </c>
      <c r="G103" s="177" t="s">
        <v>46</v>
      </c>
      <c r="I103" s="131"/>
      <c r="K103" s="121" t="s">
        <v>47</v>
      </c>
      <c r="N103" s="122"/>
      <c r="O103" s="122" t="s">
        <v>140</v>
      </c>
      <c r="P103" s="198" t="s">
        <v>47</v>
      </c>
      <c r="Q103" s="122" t="s">
        <v>41</v>
      </c>
      <c r="R103" s="123">
        <v>1</v>
      </c>
      <c r="W103" s="123">
        <f t="shared" si="2"/>
        <v>1</v>
      </c>
      <c r="X103" s="124">
        <v>2</v>
      </c>
      <c r="Y103" s="125">
        <v>3</v>
      </c>
      <c r="Z103" s="126" t="s">
        <v>59</v>
      </c>
      <c r="AD103" s="128" t="s">
        <v>128</v>
      </c>
    </row>
    <row r="104" spans="1:30" ht="18">
      <c r="A104" s="47" t="s">
        <v>338</v>
      </c>
      <c r="B104" s="55" t="s">
        <v>339</v>
      </c>
      <c r="C104" s="49"/>
      <c r="D104" s="50">
        <v>10</v>
      </c>
      <c r="E104" s="51">
        <v>76</v>
      </c>
      <c r="F104" s="52" t="s">
        <v>62</v>
      </c>
      <c r="G104" s="177" t="s">
        <v>81</v>
      </c>
      <c r="I104" s="131"/>
      <c r="K104" s="121" t="s">
        <v>47</v>
      </c>
      <c r="N104" s="122" t="s">
        <v>71</v>
      </c>
      <c r="O104" s="122" t="s">
        <v>76</v>
      </c>
      <c r="P104" s="198" t="s">
        <v>47</v>
      </c>
      <c r="Q104" s="122"/>
      <c r="T104" s="123">
        <v>1</v>
      </c>
      <c r="W104" s="123">
        <f t="shared" si="2"/>
        <v>1</v>
      </c>
      <c r="X104" s="124">
        <v>2</v>
      </c>
      <c r="Y104" s="125">
        <v>3</v>
      </c>
      <c r="AD104" s="128" t="s">
        <v>141</v>
      </c>
    </row>
    <row r="105" spans="1:30" ht="18">
      <c r="A105" s="47" t="s">
        <v>340</v>
      </c>
      <c r="B105" s="55" t="s">
        <v>341</v>
      </c>
      <c r="C105" s="49"/>
      <c r="D105" s="50">
        <v>12</v>
      </c>
      <c r="E105" s="51">
        <v>1</v>
      </c>
      <c r="F105" s="52" t="s">
        <v>62</v>
      </c>
      <c r="G105" s="175" t="s">
        <v>172</v>
      </c>
      <c r="I105" s="120"/>
      <c r="K105" s="121" t="s">
        <v>38</v>
      </c>
      <c r="N105" s="122" t="s">
        <v>40</v>
      </c>
      <c r="O105" s="122" t="s">
        <v>76</v>
      </c>
      <c r="P105" s="198" t="s">
        <v>38</v>
      </c>
      <c r="Q105" s="122" t="s">
        <v>342</v>
      </c>
      <c r="U105" s="123">
        <v>1</v>
      </c>
      <c r="W105" s="123">
        <f t="shared" si="2"/>
        <v>1</v>
      </c>
      <c r="X105" s="124">
        <v>2</v>
      </c>
      <c r="Y105" s="125">
        <v>2</v>
      </c>
      <c r="AA105" s="127" t="s">
        <v>113</v>
      </c>
      <c r="AD105" s="128" t="s">
        <v>82</v>
      </c>
    </row>
    <row r="106" spans="1:30" ht="18">
      <c r="A106" s="47" t="s">
        <v>343</v>
      </c>
      <c r="B106" s="55" t="s">
        <v>344</v>
      </c>
      <c r="C106" s="49"/>
      <c r="D106" s="50">
        <v>12</v>
      </c>
      <c r="E106" s="51">
        <v>2</v>
      </c>
      <c r="F106" s="52" t="s">
        <v>62</v>
      </c>
      <c r="G106" s="175" t="s">
        <v>188</v>
      </c>
      <c r="I106" s="120"/>
      <c r="K106" s="121" t="s">
        <v>38</v>
      </c>
      <c r="N106" s="122"/>
      <c r="O106" s="122" t="s">
        <v>76</v>
      </c>
      <c r="P106" s="198" t="s">
        <v>38</v>
      </c>
      <c r="Q106" s="122"/>
      <c r="R106" s="123">
        <v>1</v>
      </c>
      <c r="T106" s="123">
        <v>1</v>
      </c>
      <c r="U106" s="123">
        <v>1</v>
      </c>
      <c r="W106" s="123">
        <f t="shared" si="2"/>
        <v>3</v>
      </c>
      <c r="X106" s="124">
        <v>5</v>
      </c>
      <c r="Y106" s="125">
        <v>2</v>
      </c>
      <c r="AD106" s="128" t="s">
        <v>128</v>
      </c>
    </row>
    <row r="107" spans="1:30" ht="18">
      <c r="A107" s="47" t="s">
        <v>345</v>
      </c>
      <c r="B107" s="55" t="s">
        <v>346</v>
      </c>
      <c r="C107" s="49"/>
      <c r="D107" s="50">
        <v>12</v>
      </c>
      <c r="E107" s="51">
        <v>3</v>
      </c>
      <c r="F107" s="52" t="s">
        <v>62</v>
      </c>
      <c r="G107" s="175" t="s">
        <v>46</v>
      </c>
      <c r="I107" s="120"/>
      <c r="L107" s="121" t="s">
        <v>41</v>
      </c>
      <c r="N107" s="122"/>
      <c r="O107" s="122" t="s">
        <v>76</v>
      </c>
      <c r="P107" s="198" t="s">
        <v>47</v>
      </c>
      <c r="Q107" s="122" t="s">
        <v>41</v>
      </c>
      <c r="R107" s="123">
        <v>1</v>
      </c>
      <c r="V107" s="123">
        <v>1</v>
      </c>
      <c r="W107" s="123">
        <f t="shared" si="2"/>
        <v>2</v>
      </c>
      <c r="X107" s="124">
        <v>2</v>
      </c>
      <c r="Y107" s="125">
        <v>4</v>
      </c>
      <c r="AD107" s="128" t="s">
        <v>128</v>
      </c>
    </row>
    <row r="108" spans="1:30" ht="18">
      <c r="A108" s="47" t="s">
        <v>347</v>
      </c>
      <c r="B108" s="55" t="s">
        <v>348</v>
      </c>
      <c r="C108" s="49"/>
      <c r="D108" s="50">
        <v>12</v>
      </c>
      <c r="E108" s="51">
        <v>4</v>
      </c>
      <c r="F108" s="52" t="s">
        <v>62</v>
      </c>
      <c r="G108" s="175" t="s">
        <v>172</v>
      </c>
      <c r="I108" s="120"/>
      <c r="K108" s="121" t="s">
        <v>38</v>
      </c>
      <c r="M108" s="121" t="s">
        <v>39</v>
      </c>
      <c r="N108" s="122"/>
      <c r="O108" s="122" t="s">
        <v>76</v>
      </c>
      <c r="P108" s="198" t="s">
        <v>38</v>
      </c>
      <c r="Q108" s="122"/>
      <c r="U108" s="123">
        <v>1</v>
      </c>
      <c r="V108" s="123">
        <v>1</v>
      </c>
      <c r="W108" s="123">
        <f t="shared" si="2"/>
        <v>2</v>
      </c>
      <c r="X108" s="124">
        <v>2</v>
      </c>
      <c r="Y108" s="125" t="s">
        <v>189</v>
      </c>
      <c r="AD108" s="128">
        <v>6</v>
      </c>
    </row>
    <row r="109" spans="1:30">
      <c r="A109" s="47" t="s">
        <v>349</v>
      </c>
      <c r="B109" s="55" t="s">
        <v>350</v>
      </c>
      <c r="C109" s="49"/>
      <c r="D109" s="50">
        <v>12</v>
      </c>
      <c r="E109" s="51">
        <v>5</v>
      </c>
      <c r="F109" s="52" t="s">
        <v>62</v>
      </c>
      <c r="G109" s="175" t="s">
        <v>92</v>
      </c>
      <c r="I109" s="133"/>
      <c r="K109" s="121" t="s">
        <v>47</v>
      </c>
      <c r="N109" s="122"/>
      <c r="O109" s="122" t="s">
        <v>76</v>
      </c>
      <c r="P109" s="198" t="s">
        <v>47</v>
      </c>
      <c r="Q109" s="122"/>
      <c r="T109" s="123">
        <v>1</v>
      </c>
      <c r="W109" s="123">
        <f t="shared" si="2"/>
        <v>1</v>
      </c>
      <c r="X109" s="124">
        <v>2</v>
      </c>
      <c r="Y109" s="125">
        <v>3</v>
      </c>
      <c r="AD109" s="128">
        <v>6</v>
      </c>
    </row>
    <row r="110" spans="1:30">
      <c r="A110" s="47" t="s">
        <v>351</v>
      </c>
      <c r="B110" s="55" t="s">
        <v>352</v>
      </c>
      <c r="C110" s="49"/>
      <c r="D110" s="50">
        <v>12</v>
      </c>
      <c r="E110" s="51">
        <v>6</v>
      </c>
      <c r="F110" s="52" t="s">
        <v>62</v>
      </c>
      <c r="G110" s="175" t="s">
        <v>67</v>
      </c>
      <c r="I110" s="133"/>
      <c r="K110" s="121" t="s">
        <v>38</v>
      </c>
      <c r="N110" s="122" t="s">
        <v>53</v>
      </c>
      <c r="O110" s="122"/>
      <c r="P110" s="198" t="s">
        <v>38</v>
      </c>
      <c r="Q110" s="122"/>
      <c r="R110" s="123">
        <v>1</v>
      </c>
      <c r="U110" s="123">
        <v>1</v>
      </c>
      <c r="W110" s="123">
        <f t="shared" si="2"/>
        <v>2</v>
      </c>
      <c r="X110" s="124">
        <v>5</v>
      </c>
      <c r="Y110" s="125">
        <v>2</v>
      </c>
      <c r="AD110" s="128" t="s">
        <v>82</v>
      </c>
    </row>
    <row r="111" spans="1:30">
      <c r="A111" s="47" t="s">
        <v>353</v>
      </c>
      <c r="B111" s="55" t="s">
        <v>354</v>
      </c>
      <c r="C111" s="49"/>
      <c r="D111" s="50">
        <v>12</v>
      </c>
      <c r="E111" s="51">
        <v>7</v>
      </c>
      <c r="F111" s="52" t="s">
        <v>62</v>
      </c>
      <c r="G111" s="175" t="s">
        <v>46</v>
      </c>
      <c r="I111" s="133"/>
      <c r="K111" s="121" t="s">
        <v>47</v>
      </c>
      <c r="N111" s="122" t="s">
        <v>40</v>
      </c>
      <c r="O111" s="122"/>
      <c r="P111" s="198" t="s">
        <v>47</v>
      </c>
      <c r="Q111" s="122" t="s">
        <v>41</v>
      </c>
      <c r="R111" s="123">
        <v>1</v>
      </c>
      <c r="W111" s="123">
        <f t="shared" si="2"/>
        <v>1</v>
      </c>
      <c r="X111" s="124">
        <v>2</v>
      </c>
      <c r="Y111" s="125">
        <v>3</v>
      </c>
      <c r="AD111" s="128" t="s">
        <v>214</v>
      </c>
    </row>
    <row r="112" spans="1:30">
      <c r="A112" s="47" t="s">
        <v>355</v>
      </c>
      <c r="B112" s="55" t="s">
        <v>356</v>
      </c>
      <c r="C112" s="49"/>
      <c r="D112" s="50">
        <v>12</v>
      </c>
      <c r="E112" s="51">
        <v>8</v>
      </c>
      <c r="F112" s="52" t="s">
        <v>62</v>
      </c>
      <c r="G112" s="175" t="s">
        <v>67</v>
      </c>
      <c r="I112" s="133"/>
      <c r="K112" s="121" t="s">
        <v>38</v>
      </c>
      <c r="N112" s="122" t="s">
        <v>40</v>
      </c>
      <c r="O112" s="122"/>
      <c r="P112" s="198" t="s">
        <v>96</v>
      </c>
      <c r="Q112" s="122"/>
      <c r="U112" s="123">
        <v>1</v>
      </c>
      <c r="V112" s="123">
        <v>1</v>
      </c>
      <c r="W112" s="123">
        <f t="shared" si="2"/>
        <v>2</v>
      </c>
      <c r="X112" s="124">
        <v>5</v>
      </c>
      <c r="Y112" s="125">
        <v>1</v>
      </c>
      <c r="AD112" s="128" t="s">
        <v>253</v>
      </c>
    </row>
    <row r="113" spans="1:31">
      <c r="A113" s="47" t="s">
        <v>357</v>
      </c>
      <c r="B113" s="55" t="s">
        <v>358</v>
      </c>
      <c r="C113" s="49"/>
      <c r="D113" s="50">
        <v>12</v>
      </c>
      <c r="E113" s="51">
        <v>9</v>
      </c>
      <c r="F113" s="52" t="s">
        <v>62</v>
      </c>
      <c r="G113" s="175" t="s">
        <v>81</v>
      </c>
      <c r="I113" s="133"/>
      <c r="K113" s="121" t="s">
        <v>38</v>
      </c>
      <c r="N113" s="122"/>
      <c r="O113" s="122" t="s">
        <v>76</v>
      </c>
      <c r="P113" s="198" t="s">
        <v>96</v>
      </c>
      <c r="Q113" s="122"/>
      <c r="R113" s="123">
        <v>1</v>
      </c>
      <c r="U113" s="123">
        <v>1</v>
      </c>
      <c r="W113" s="123">
        <f t="shared" si="2"/>
        <v>2</v>
      </c>
      <c r="X113" s="124">
        <v>2</v>
      </c>
      <c r="Y113" s="125">
        <v>2</v>
      </c>
      <c r="AD113" s="128" t="s">
        <v>221</v>
      </c>
    </row>
    <row r="114" spans="1:31">
      <c r="A114" s="47" t="s">
        <v>359</v>
      </c>
      <c r="B114" s="55" t="s">
        <v>360</v>
      </c>
      <c r="C114" s="49"/>
      <c r="D114" s="50">
        <v>12</v>
      </c>
      <c r="E114" s="51">
        <v>10</v>
      </c>
      <c r="F114" s="52" t="s">
        <v>62</v>
      </c>
      <c r="G114" s="175" t="s">
        <v>37</v>
      </c>
      <c r="I114" s="133"/>
      <c r="K114" s="121" t="s">
        <v>47</v>
      </c>
      <c r="N114" s="122" t="s">
        <v>40</v>
      </c>
      <c r="O114" s="122"/>
      <c r="P114" s="198" t="s">
        <v>47</v>
      </c>
      <c r="Q114" s="122"/>
      <c r="U114" s="123">
        <v>1</v>
      </c>
      <c r="V114" s="123">
        <v>1</v>
      </c>
      <c r="W114" s="123">
        <f t="shared" si="2"/>
        <v>2</v>
      </c>
      <c r="X114" s="124">
        <v>2</v>
      </c>
      <c r="Y114" s="125">
        <v>3</v>
      </c>
      <c r="AD114" s="128" t="s">
        <v>214</v>
      </c>
    </row>
    <row r="115" spans="1:31">
      <c r="A115" s="47" t="s">
        <v>361</v>
      </c>
      <c r="B115" s="55" t="s">
        <v>362</v>
      </c>
      <c r="C115" s="49"/>
      <c r="D115" s="50">
        <v>13</v>
      </c>
      <c r="E115" s="51">
        <v>1</v>
      </c>
      <c r="F115" s="52" t="s">
        <v>36</v>
      </c>
      <c r="G115" s="175" t="s">
        <v>192</v>
      </c>
      <c r="I115" s="133"/>
      <c r="M115" s="121" t="s">
        <v>39</v>
      </c>
      <c r="N115" s="122" t="s">
        <v>40</v>
      </c>
      <c r="O115" s="122" t="s">
        <v>76</v>
      </c>
      <c r="P115" s="198" t="s">
        <v>47</v>
      </c>
      <c r="Q115" s="122"/>
      <c r="S115" s="123">
        <v>1</v>
      </c>
      <c r="U115" s="123">
        <v>1</v>
      </c>
      <c r="V115" s="123">
        <v>1</v>
      </c>
      <c r="W115" s="123">
        <f t="shared" si="2"/>
        <v>3</v>
      </c>
      <c r="X115" s="124">
        <v>4</v>
      </c>
      <c r="Y115" s="125">
        <v>3</v>
      </c>
      <c r="AC115" s="127" t="s">
        <v>202</v>
      </c>
      <c r="AD115" s="128" t="s">
        <v>68</v>
      </c>
    </row>
    <row r="116" spans="1:31">
      <c r="A116" s="47" t="s">
        <v>363</v>
      </c>
      <c r="B116" s="55" t="s">
        <v>364</v>
      </c>
      <c r="C116" s="49"/>
      <c r="D116" s="50">
        <v>14</v>
      </c>
      <c r="E116" s="51">
        <v>1</v>
      </c>
      <c r="F116" s="52" t="s">
        <v>36</v>
      </c>
      <c r="G116" s="175" t="s">
        <v>85</v>
      </c>
      <c r="I116" s="133"/>
      <c r="K116" s="121" t="s">
        <v>38</v>
      </c>
      <c r="N116" s="122"/>
      <c r="O116" s="122" t="s">
        <v>140</v>
      </c>
      <c r="P116" s="198" t="s">
        <v>38</v>
      </c>
      <c r="Q116" s="122"/>
      <c r="R116" s="123">
        <v>1</v>
      </c>
      <c r="T116" s="123">
        <v>1</v>
      </c>
      <c r="U116" s="123">
        <v>1</v>
      </c>
      <c r="V116" s="123">
        <v>1</v>
      </c>
      <c r="W116" s="123">
        <f t="shared" si="2"/>
        <v>4</v>
      </c>
      <c r="X116" s="124">
        <v>1</v>
      </c>
      <c r="Y116" s="125">
        <v>1</v>
      </c>
      <c r="Z116" s="126" t="s">
        <v>59</v>
      </c>
      <c r="AD116" s="128" t="s">
        <v>206</v>
      </c>
    </row>
    <row r="117" spans="1:31">
      <c r="A117" s="47" t="s">
        <v>365</v>
      </c>
      <c r="B117" s="55" t="s">
        <v>366</v>
      </c>
      <c r="C117" s="49"/>
      <c r="D117" s="50">
        <v>15</v>
      </c>
      <c r="E117" s="51">
        <v>1</v>
      </c>
      <c r="F117" s="52" t="s">
        <v>62</v>
      </c>
      <c r="G117" s="175" t="s">
        <v>37</v>
      </c>
      <c r="I117" s="133"/>
      <c r="K117" s="121" t="s">
        <v>38</v>
      </c>
      <c r="N117" s="122" t="s">
        <v>71</v>
      </c>
      <c r="O117" s="122" t="s">
        <v>76</v>
      </c>
      <c r="P117" s="198" t="s">
        <v>38</v>
      </c>
      <c r="Q117" s="122"/>
      <c r="R117" s="123">
        <v>1</v>
      </c>
      <c r="T117" s="123">
        <v>1</v>
      </c>
      <c r="U117" s="123">
        <v>1</v>
      </c>
      <c r="V117" s="123">
        <v>1</v>
      </c>
      <c r="W117" s="123">
        <f t="shared" si="2"/>
        <v>4</v>
      </c>
      <c r="X117" s="124">
        <v>2</v>
      </c>
      <c r="Y117" s="125">
        <v>2</v>
      </c>
      <c r="AD117" s="128" t="s">
        <v>128</v>
      </c>
    </row>
    <row r="118" spans="1:31">
      <c r="A118" s="47" t="s">
        <v>367</v>
      </c>
      <c r="B118" s="55" t="s">
        <v>368</v>
      </c>
      <c r="C118" s="49"/>
      <c r="D118" s="50">
        <v>15</v>
      </c>
      <c r="E118" s="51">
        <v>2</v>
      </c>
      <c r="F118" s="52" t="s">
        <v>62</v>
      </c>
      <c r="G118" s="175" t="s">
        <v>67</v>
      </c>
      <c r="I118" s="133"/>
      <c r="K118" s="121" t="s">
        <v>47</v>
      </c>
      <c r="M118" s="121" t="s">
        <v>39</v>
      </c>
      <c r="N118" s="122" t="s">
        <v>53</v>
      </c>
      <c r="O118" s="122" t="s">
        <v>76</v>
      </c>
      <c r="P118" s="198" t="s">
        <v>47</v>
      </c>
      <c r="Q118" s="122"/>
      <c r="U118" s="123">
        <v>1</v>
      </c>
      <c r="V118" s="123">
        <v>1</v>
      </c>
      <c r="W118" s="123">
        <f t="shared" si="2"/>
        <v>2</v>
      </c>
      <c r="X118" s="124">
        <v>5</v>
      </c>
      <c r="Y118" s="125" t="s">
        <v>369</v>
      </c>
      <c r="AD118" s="128" t="s">
        <v>72</v>
      </c>
    </row>
    <row r="119" spans="1:31">
      <c r="A119" s="47" t="s">
        <v>370</v>
      </c>
      <c r="B119" s="55" t="s">
        <v>371</v>
      </c>
      <c r="C119" s="49"/>
      <c r="D119" s="50">
        <v>15</v>
      </c>
      <c r="E119" s="51">
        <v>3</v>
      </c>
      <c r="F119" s="52" t="s">
        <v>62</v>
      </c>
      <c r="G119" s="175" t="s">
        <v>67</v>
      </c>
      <c r="I119" s="133"/>
      <c r="K119" s="121" t="s">
        <v>38</v>
      </c>
      <c r="N119" s="122"/>
      <c r="O119" s="122" t="s">
        <v>76</v>
      </c>
      <c r="P119" s="198" t="s">
        <v>96</v>
      </c>
      <c r="Q119" s="122"/>
      <c r="U119" s="123">
        <v>1</v>
      </c>
      <c r="V119" s="123">
        <v>1</v>
      </c>
      <c r="W119" s="123">
        <f t="shared" si="2"/>
        <v>2</v>
      </c>
      <c r="X119" s="124">
        <v>2</v>
      </c>
      <c r="Y119" s="125">
        <v>2</v>
      </c>
      <c r="AD119" s="128" t="s">
        <v>82</v>
      </c>
    </row>
    <row r="120" spans="1:31">
      <c r="A120" s="47" t="s">
        <v>372</v>
      </c>
      <c r="B120" s="55" t="s">
        <v>373</v>
      </c>
      <c r="C120" s="49"/>
      <c r="D120" s="50">
        <v>15</v>
      </c>
      <c r="E120" s="51">
        <v>4</v>
      </c>
      <c r="F120" s="52" t="s">
        <v>62</v>
      </c>
      <c r="G120" s="175" t="s">
        <v>81</v>
      </c>
      <c r="I120" s="133"/>
      <c r="K120" s="121" t="s">
        <v>38</v>
      </c>
      <c r="N120" s="122" t="s">
        <v>40</v>
      </c>
      <c r="O120" s="122"/>
      <c r="P120" s="198" t="s">
        <v>38</v>
      </c>
      <c r="Q120" s="122"/>
      <c r="T120" s="123">
        <v>1</v>
      </c>
      <c r="U120" s="123">
        <v>1</v>
      </c>
      <c r="W120" s="123">
        <f t="shared" si="2"/>
        <v>2</v>
      </c>
      <c r="X120" s="124">
        <v>2</v>
      </c>
      <c r="Y120" s="125">
        <v>1</v>
      </c>
      <c r="AD120" s="128" t="s">
        <v>250</v>
      </c>
    </row>
    <row r="121" spans="1:31">
      <c r="A121" s="47" t="s">
        <v>374</v>
      </c>
      <c r="B121" s="55" t="s">
        <v>375</v>
      </c>
      <c r="C121" s="49"/>
      <c r="D121" s="50">
        <v>16</v>
      </c>
      <c r="E121" s="51">
        <v>1</v>
      </c>
      <c r="F121" s="52" t="s">
        <v>36</v>
      </c>
      <c r="G121" s="175" t="s">
        <v>168</v>
      </c>
      <c r="I121" s="133"/>
      <c r="K121" s="121" t="s">
        <v>47</v>
      </c>
      <c r="N121" s="122"/>
      <c r="O121" s="122"/>
      <c r="P121" s="198" t="s">
        <v>47</v>
      </c>
      <c r="Q121" s="122"/>
      <c r="R121" s="123">
        <v>1</v>
      </c>
      <c r="W121" s="123">
        <f t="shared" si="2"/>
        <v>1</v>
      </c>
      <c r="X121" s="124">
        <v>1</v>
      </c>
      <c r="Y121" s="125">
        <v>3</v>
      </c>
    </row>
    <row r="122" spans="1:31" ht="16.5">
      <c r="A122" s="47" t="s">
        <v>376</v>
      </c>
      <c r="B122" s="55" t="s">
        <v>377</v>
      </c>
      <c r="C122" s="49" t="s">
        <v>378</v>
      </c>
      <c r="D122" s="50">
        <v>16</v>
      </c>
      <c r="E122" s="51">
        <v>3</v>
      </c>
      <c r="F122" s="52" t="s">
        <v>36</v>
      </c>
      <c r="G122" s="175" t="s">
        <v>176</v>
      </c>
      <c r="H122" s="53" t="s">
        <v>379</v>
      </c>
      <c r="I122" s="133"/>
      <c r="J122" s="121" t="s">
        <v>76</v>
      </c>
      <c r="N122" s="122"/>
      <c r="O122" s="122" t="s">
        <v>76</v>
      </c>
      <c r="P122" s="198" t="s">
        <v>96</v>
      </c>
      <c r="Q122" s="122" t="s">
        <v>41</v>
      </c>
      <c r="R122" s="123">
        <v>1</v>
      </c>
      <c r="V122" s="123">
        <v>1</v>
      </c>
      <c r="W122" s="123">
        <f t="shared" si="2"/>
        <v>2</v>
      </c>
      <c r="X122" s="124">
        <v>2</v>
      </c>
      <c r="Y122" s="125">
        <v>1</v>
      </c>
      <c r="AD122" s="128" t="s">
        <v>380</v>
      </c>
    </row>
    <row r="123" spans="1:31">
      <c r="A123" s="47" t="s">
        <v>381</v>
      </c>
      <c r="B123" s="55" t="s">
        <v>382</v>
      </c>
      <c r="C123" s="49"/>
      <c r="D123" s="50">
        <v>17</v>
      </c>
      <c r="E123" s="51">
        <v>1</v>
      </c>
      <c r="F123" s="52" t="s">
        <v>62</v>
      </c>
      <c r="G123" s="175" t="s">
        <v>192</v>
      </c>
      <c r="I123" s="133"/>
      <c r="M123" s="121" t="s">
        <v>39</v>
      </c>
      <c r="N123" s="122"/>
      <c r="O123" s="122"/>
      <c r="P123" s="198" t="s">
        <v>38</v>
      </c>
      <c r="Q123" s="122" t="s">
        <v>41</v>
      </c>
      <c r="R123" s="123">
        <v>1</v>
      </c>
      <c r="U123" s="123">
        <v>1</v>
      </c>
      <c r="V123" s="123">
        <v>1</v>
      </c>
      <c r="W123" s="123">
        <f t="shared" si="2"/>
        <v>3</v>
      </c>
      <c r="X123" s="124">
        <v>2</v>
      </c>
      <c r="Y123" s="125">
        <v>2</v>
      </c>
      <c r="AD123" s="128">
        <v>6</v>
      </c>
    </row>
    <row r="124" spans="1:31">
      <c r="A124" s="47" t="s">
        <v>383</v>
      </c>
      <c r="B124" s="55" t="s">
        <v>384</v>
      </c>
      <c r="C124" s="49"/>
      <c r="D124" s="50">
        <v>17</v>
      </c>
      <c r="E124" s="51">
        <v>2</v>
      </c>
      <c r="F124" s="52" t="s">
        <v>62</v>
      </c>
      <c r="G124" s="175" t="s">
        <v>67</v>
      </c>
      <c r="I124" s="133"/>
      <c r="M124" s="121" t="s">
        <v>39</v>
      </c>
      <c r="N124" s="122" t="s">
        <v>40</v>
      </c>
      <c r="O124" s="122"/>
      <c r="P124" s="198" t="s">
        <v>38</v>
      </c>
      <c r="Q124" s="122"/>
      <c r="R124" s="123">
        <v>1</v>
      </c>
      <c r="T124" s="123">
        <v>1</v>
      </c>
      <c r="U124" s="123">
        <v>1</v>
      </c>
      <c r="W124" s="123">
        <f t="shared" si="2"/>
        <v>3</v>
      </c>
      <c r="X124" s="124">
        <v>2</v>
      </c>
      <c r="Y124" s="125">
        <v>3</v>
      </c>
      <c r="AD124" s="128" t="s">
        <v>214</v>
      </c>
    </row>
    <row r="125" spans="1:31">
      <c r="A125" s="47" t="s">
        <v>385</v>
      </c>
      <c r="B125" s="55" t="s">
        <v>386</v>
      </c>
      <c r="C125" s="49"/>
      <c r="D125" s="50">
        <v>17</v>
      </c>
      <c r="E125" s="51">
        <v>3</v>
      </c>
      <c r="F125" s="52" t="s">
        <v>62</v>
      </c>
      <c r="G125" s="175" t="s">
        <v>81</v>
      </c>
      <c r="I125" s="133"/>
      <c r="M125" s="121" t="s">
        <v>39</v>
      </c>
      <c r="N125" s="122" t="s">
        <v>40</v>
      </c>
      <c r="O125" s="122"/>
      <c r="P125" s="198" t="s">
        <v>38</v>
      </c>
      <c r="Q125" s="122"/>
      <c r="U125" s="123">
        <v>1</v>
      </c>
      <c r="V125" s="123">
        <v>1</v>
      </c>
      <c r="W125" s="123">
        <f t="shared" si="2"/>
        <v>2</v>
      </c>
      <c r="X125" s="124">
        <v>2</v>
      </c>
      <c r="Y125" s="125">
        <v>3</v>
      </c>
      <c r="AD125" s="128" t="s">
        <v>253</v>
      </c>
    </row>
    <row r="126" spans="1:31">
      <c r="A126" s="47" t="s">
        <v>387</v>
      </c>
      <c r="B126" s="55" t="s">
        <v>388</v>
      </c>
      <c r="C126" s="49"/>
      <c r="D126" s="50">
        <v>17</v>
      </c>
      <c r="E126" s="51">
        <v>4</v>
      </c>
      <c r="F126" s="52" t="s">
        <v>62</v>
      </c>
      <c r="G126" s="175" t="s">
        <v>192</v>
      </c>
      <c r="K126" s="121" t="s">
        <v>47</v>
      </c>
      <c r="N126" s="122"/>
      <c r="O126" s="122" t="s">
        <v>76</v>
      </c>
      <c r="P126" s="198" t="s">
        <v>47</v>
      </c>
      <c r="Q126" s="122"/>
      <c r="U126" s="123">
        <v>1</v>
      </c>
      <c r="V126" s="123">
        <v>1</v>
      </c>
      <c r="W126" s="123">
        <f t="shared" si="2"/>
        <v>2</v>
      </c>
      <c r="X126" s="124">
        <v>4</v>
      </c>
      <c r="Y126" s="125">
        <v>3</v>
      </c>
      <c r="AD126" s="128" t="s">
        <v>389</v>
      </c>
    </row>
    <row r="127" spans="1:31">
      <c r="A127" s="54" t="s">
        <v>390</v>
      </c>
      <c r="B127" s="55" t="s">
        <v>391</v>
      </c>
      <c r="C127" s="49"/>
      <c r="D127" s="50">
        <v>18</v>
      </c>
      <c r="E127" s="51">
        <v>1</v>
      </c>
      <c r="F127" s="52" t="s">
        <v>36</v>
      </c>
      <c r="G127" s="175" t="s">
        <v>392</v>
      </c>
      <c r="I127" s="133"/>
      <c r="K127" s="121" t="s">
        <v>47</v>
      </c>
      <c r="N127" s="122" t="s">
        <v>71</v>
      </c>
      <c r="O127" s="122" t="s">
        <v>76</v>
      </c>
      <c r="P127" s="198" t="s">
        <v>96</v>
      </c>
      <c r="Q127" s="122" t="s">
        <v>41</v>
      </c>
      <c r="U127" s="123">
        <v>1</v>
      </c>
      <c r="W127" s="123">
        <f t="shared" si="2"/>
        <v>1</v>
      </c>
      <c r="X127" s="124">
        <v>2</v>
      </c>
      <c r="Y127" s="125">
        <v>1</v>
      </c>
      <c r="AD127" s="128" t="s">
        <v>78</v>
      </c>
    </row>
    <row r="128" spans="1:31" ht="16.5">
      <c r="A128" s="47" t="s">
        <v>393</v>
      </c>
      <c r="B128" s="55" t="s">
        <v>394</v>
      </c>
      <c r="C128" s="49"/>
      <c r="D128" s="50">
        <v>19</v>
      </c>
      <c r="E128" s="51">
        <v>1</v>
      </c>
      <c r="F128" s="52" t="s">
        <v>62</v>
      </c>
      <c r="G128" s="175" t="s">
        <v>46</v>
      </c>
      <c r="I128" s="133"/>
      <c r="K128" s="121" t="s">
        <v>47</v>
      </c>
      <c r="N128" s="122" t="s">
        <v>71</v>
      </c>
      <c r="O128" s="122"/>
      <c r="P128" s="198" t="s">
        <v>47</v>
      </c>
      <c r="Q128" s="122" t="s">
        <v>41</v>
      </c>
      <c r="R128" s="123">
        <v>1</v>
      </c>
      <c r="W128" s="123">
        <f t="shared" si="2"/>
        <v>1</v>
      </c>
      <c r="X128" s="124">
        <v>2</v>
      </c>
      <c r="Y128" s="125">
        <v>3</v>
      </c>
      <c r="AD128" s="128" t="s">
        <v>157</v>
      </c>
      <c r="AE128" s="210" t="s">
        <v>395</v>
      </c>
    </row>
    <row r="129" spans="1:30">
      <c r="A129" s="47" t="s">
        <v>396</v>
      </c>
      <c r="B129" s="55" t="s">
        <v>397</v>
      </c>
      <c r="C129" s="49"/>
      <c r="D129" s="50">
        <v>19</v>
      </c>
      <c r="E129" s="51">
        <v>2</v>
      </c>
      <c r="F129" s="52" t="s">
        <v>62</v>
      </c>
      <c r="G129" s="175" t="s">
        <v>92</v>
      </c>
      <c r="I129" s="133"/>
      <c r="J129" s="121" t="s">
        <v>76</v>
      </c>
      <c r="N129" s="122"/>
      <c r="O129" s="122" t="s">
        <v>76</v>
      </c>
      <c r="P129" s="198" t="s">
        <v>47</v>
      </c>
      <c r="Q129" s="122"/>
      <c r="W129" s="123">
        <f t="shared" si="2"/>
        <v>0</v>
      </c>
      <c r="X129" s="124">
        <v>2</v>
      </c>
      <c r="Y129" s="125">
        <v>1</v>
      </c>
      <c r="AD129" s="128" t="s">
        <v>221</v>
      </c>
    </row>
    <row r="130" spans="1:30">
      <c r="A130" s="47" t="s">
        <v>398</v>
      </c>
      <c r="B130" s="55" t="s">
        <v>399</v>
      </c>
      <c r="C130" s="49"/>
      <c r="D130" s="50">
        <v>19</v>
      </c>
      <c r="E130" s="51">
        <v>3</v>
      </c>
      <c r="F130" s="52" t="s">
        <v>62</v>
      </c>
      <c r="G130" s="175" t="s">
        <v>92</v>
      </c>
      <c r="I130" s="133" t="s">
        <v>40</v>
      </c>
      <c r="L130" s="121" t="s">
        <v>41</v>
      </c>
      <c r="N130" s="122" t="s">
        <v>40</v>
      </c>
      <c r="O130" s="122"/>
      <c r="P130" s="198" t="s">
        <v>47</v>
      </c>
      <c r="Q130" s="122" t="s">
        <v>41</v>
      </c>
      <c r="V130" s="123">
        <v>1</v>
      </c>
      <c r="W130" s="123">
        <f t="shared" si="2"/>
        <v>1</v>
      </c>
      <c r="X130" s="124">
        <v>1</v>
      </c>
      <c r="Y130" s="125">
        <v>2</v>
      </c>
      <c r="AD130" s="128">
        <v>5</v>
      </c>
    </row>
    <row r="131" spans="1:30">
      <c r="A131" s="47" t="s">
        <v>400</v>
      </c>
      <c r="B131" s="55" t="s">
        <v>401</v>
      </c>
      <c r="C131" s="49"/>
      <c r="D131" s="50">
        <v>19</v>
      </c>
      <c r="E131" s="51">
        <v>4</v>
      </c>
      <c r="F131" s="52" t="s">
        <v>62</v>
      </c>
      <c r="G131" s="175" t="s">
        <v>92</v>
      </c>
      <c r="I131" s="133"/>
      <c r="L131" s="121" t="s">
        <v>41</v>
      </c>
      <c r="N131" s="122" t="s">
        <v>40</v>
      </c>
      <c r="O131" s="122"/>
      <c r="P131" s="198" t="s">
        <v>47</v>
      </c>
      <c r="Q131" s="122" t="s">
        <v>41</v>
      </c>
      <c r="V131" s="123">
        <v>1</v>
      </c>
      <c r="W131" s="123">
        <f t="shared" si="2"/>
        <v>1</v>
      </c>
      <c r="X131" s="124">
        <v>1</v>
      </c>
      <c r="Y131" s="125">
        <v>4</v>
      </c>
      <c r="AD131" s="128" t="s">
        <v>389</v>
      </c>
    </row>
    <row r="132" spans="1:30">
      <c r="A132" s="47" t="s">
        <v>402</v>
      </c>
      <c r="B132" s="55" t="s">
        <v>403</v>
      </c>
      <c r="C132" s="49"/>
      <c r="D132" s="50">
        <v>19</v>
      </c>
      <c r="E132" s="51">
        <v>5</v>
      </c>
      <c r="F132" s="52" t="s">
        <v>62</v>
      </c>
      <c r="G132" s="175" t="s">
        <v>176</v>
      </c>
      <c r="I132" s="133"/>
      <c r="L132" s="121" t="s">
        <v>41</v>
      </c>
      <c r="N132" s="122" t="s">
        <v>71</v>
      </c>
      <c r="O132" s="122"/>
      <c r="P132" s="198" t="s">
        <v>38</v>
      </c>
      <c r="Q132" s="122" t="s">
        <v>41</v>
      </c>
      <c r="R132" s="123">
        <v>1</v>
      </c>
      <c r="V132" s="123">
        <v>1</v>
      </c>
      <c r="W132" s="123">
        <f t="shared" si="2"/>
        <v>2</v>
      </c>
      <c r="X132" s="124">
        <v>2</v>
      </c>
      <c r="Y132" s="125">
        <v>4</v>
      </c>
      <c r="AD132" s="128" t="s">
        <v>157</v>
      </c>
    </row>
    <row r="133" spans="1:30">
      <c r="A133" s="47" t="s">
        <v>404</v>
      </c>
      <c r="B133" s="55" t="s">
        <v>405</v>
      </c>
      <c r="C133" s="49"/>
      <c r="D133" s="50">
        <v>19</v>
      </c>
      <c r="E133" s="51">
        <v>6</v>
      </c>
      <c r="F133" s="52" t="s">
        <v>62</v>
      </c>
      <c r="G133" s="175" t="s">
        <v>46</v>
      </c>
      <c r="I133" s="133"/>
      <c r="K133" s="121" t="s">
        <v>47</v>
      </c>
      <c r="N133" s="122" t="s">
        <v>71</v>
      </c>
      <c r="O133" s="122"/>
      <c r="P133" s="198" t="s">
        <v>47</v>
      </c>
      <c r="Q133" s="122"/>
      <c r="R133" s="123">
        <v>1</v>
      </c>
      <c r="W133" s="123">
        <f t="shared" si="2"/>
        <v>1</v>
      </c>
      <c r="X133" s="124">
        <v>2</v>
      </c>
      <c r="Y133" s="125">
        <v>3</v>
      </c>
      <c r="AD133" s="128" t="s">
        <v>141</v>
      </c>
    </row>
    <row r="134" spans="1:30">
      <c r="A134" s="47" t="s">
        <v>406</v>
      </c>
      <c r="B134" s="55" t="s">
        <v>407</v>
      </c>
      <c r="C134" s="49"/>
      <c r="D134" s="50">
        <v>19</v>
      </c>
      <c r="E134" s="51">
        <v>7</v>
      </c>
      <c r="F134" s="52" t="s">
        <v>62</v>
      </c>
      <c r="G134" s="175" t="s">
        <v>307</v>
      </c>
      <c r="I134" s="133"/>
      <c r="L134" s="121" t="s">
        <v>41</v>
      </c>
      <c r="N134" s="122"/>
      <c r="O134" s="122"/>
      <c r="P134" s="198" t="s">
        <v>38</v>
      </c>
      <c r="Q134" s="122" t="s">
        <v>41</v>
      </c>
      <c r="R134" s="123">
        <v>1</v>
      </c>
      <c r="V134" s="123">
        <v>1</v>
      </c>
      <c r="W134" s="123">
        <f t="shared" si="2"/>
        <v>2</v>
      </c>
      <c r="X134" s="124">
        <v>2</v>
      </c>
      <c r="Y134" s="125">
        <v>4</v>
      </c>
      <c r="AD134" s="128" t="s">
        <v>128</v>
      </c>
    </row>
    <row r="135" spans="1:30">
      <c r="A135" s="47" t="s">
        <v>408</v>
      </c>
      <c r="B135" s="55" t="s">
        <v>409</v>
      </c>
      <c r="C135" s="49"/>
      <c r="D135" s="50">
        <v>19</v>
      </c>
      <c r="E135" s="51">
        <v>8</v>
      </c>
      <c r="F135" s="52" t="s">
        <v>62</v>
      </c>
      <c r="G135" s="175" t="s">
        <v>92</v>
      </c>
      <c r="I135" s="133"/>
      <c r="L135" s="121" t="s">
        <v>41</v>
      </c>
      <c r="N135" s="122"/>
      <c r="O135" s="122"/>
      <c r="P135" s="198" t="s">
        <v>38</v>
      </c>
      <c r="Q135" s="122" t="s">
        <v>41</v>
      </c>
      <c r="R135" s="123">
        <v>1</v>
      </c>
      <c r="V135" s="123">
        <v>1</v>
      </c>
      <c r="W135" s="123">
        <f t="shared" ref="W135:W198" si="3">SUM(R135:V135)</f>
        <v>2</v>
      </c>
      <c r="X135" s="124">
        <v>2</v>
      </c>
      <c r="Y135" s="125">
        <v>4</v>
      </c>
      <c r="AD135" s="128" t="s">
        <v>157</v>
      </c>
    </row>
    <row r="136" spans="1:30">
      <c r="A136" s="47" t="s">
        <v>410</v>
      </c>
      <c r="B136" s="55" t="s">
        <v>411</v>
      </c>
      <c r="C136" s="49"/>
      <c r="D136" s="50">
        <v>19</v>
      </c>
      <c r="E136" s="51">
        <v>9</v>
      </c>
      <c r="F136" s="52" t="s">
        <v>62</v>
      </c>
      <c r="G136" s="175" t="s">
        <v>412</v>
      </c>
      <c r="I136" s="133"/>
      <c r="K136" s="121" t="s">
        <v>47</v>
      </c>
      <c r="N136" s="122"/>
      <c r="O136" s="122"/>
      <c r="P136" s="198" t="s">
        <v>47</v>
      </c>
      <c r="Q136" s="122"/>
      <c r="R136" s="123">
        <v>1</v>
      </c>
      <c r="W136" s="123">
        <f t="shared" si="3"/>
        <v>1</v>
      </c>
      <c r="X136" s="124">
        <v>5</v>
      </c>
      <c r="Y136" s="125">
        <v>3</v>
      </c>
      <c r="AD136" s="128">
        <v>6</v>
      </c>
    </row>
    <row r="137" spans="1:30">
      <c r="A137" s="47" t="s">
        <v>413</v>
      </c>
      <c r="B137" s="55" t="s">
        <v>414</v>
      </c>
      <c r="C137" s="49"/>
      <c r="D137" s="50">
        <v>19</v>
      </c>
      <c r="E137" s="51">
        <v>10</v>
      </c>
      <c r="F137" s="52" t="s">
        <v>62</v>
      </c>
      <c r="G137" s="175" t="s">
        <v>46</v>
      </c>
      <c r="I137" s="133"/>
      <c r="K137" s="121" t="s">
        <v>47</v>
      </c>
      <c r="N137" s="122"/>
      <c r="O137" s="122" t="s">
        <v>76</v>
      </c>
      <c r="P137" s="198" t="s">
        <v>47</v>
      </c>
      <c r="Q137" s="122"/>
      <c r="T137" s="123">
        <v>1</v>
      </c>
      <c r="W137" s="123">
        <f t="shared" si="3"/>
        <v>1</v>
      </c>
      <c r="X137" s="124">
        <v>2</v>
      </c>
      <c r="Y137" s="125">
        <v>3</v>
      </c>
      <c r="AD137" s="128" t="s">
        <v>221</v>
      </c>
    </row>
    <row r="138" spans="1:30">
      <c r="A138" s="47" t="s">
        <v>415</v>
      </c>
      <c r="B138" s="55" t="s">
        <v>416</v>
      </c>
      <c r="C138" s="49"/>
      <c r="D138" s="50">
        <v>19</v>
      </c>
      <c r="E138" s="51">
        <v>11</v>
      </c>
      <c r="F138" s="52" t="s">
        <v>62</v>
      </c>
      <c r="G138" s="175" t="s">
        <v>412</v>
      </c>
      <c r="I138" s="133"/>
      <c r="L138" s="121" t="s">
        <v>41</v>
      </c>
      <c r="N138" s="122"/>
      <c r="O138" s="122"/>
      <c r="P138" s="198" t="s">
        <v>47</v>
      </c>
      <c r="Q138" s="122" t="s">
        <v>41</v>
      </c>
      <c r="R138" s="123">
        <v>1</v>
      </c>
      <c r="V138" s="123">
        <v>1</v>
      </c>
      <c r="W138" s="123">
        <f t="shared" si="3"/>
        <v>2</v>
      </c>
      <c r="X138" s="124">
        <v>2</v>
      </c>
      <c r="Y138" s="125">
        <v>4</v>
      </c>
      <c r="AD138" s="128" t="s">
        <v>157</v>
      </c>
    </row>
    <row r="139" spans="1:30">
      <c r="A139" s="47" t="s">
        <v>417</v>
      </c>
      <c r="B139" s="55" t="s">
        <v>418</v>
      </c>
      <c r="C139" s="49"/>
      <c r="D139" s="50">
        <v>19</v>
      </c>
      <c r="E139" s="51">
        <v>12</v>
      </c>
      <c r="F139" s="52" t="s">
        <v>62</v>
      </c>
      <c r="G139" s="175" t="s">
        <v>92</v>
      </c>
      <c r="I139" s="133"/>
      <c r="J139" s="121" t="s">
        <v>76</v>
      </c>
      <c r="L139" s="121" t="s">
        <v>41</v>
      </c>
      <c r="N139" s="122" t="s">
        <v>40</v>
      </c>
      <c r="O139" s="122" t="s">
        <v>76</v>
      </c>
      <c r="P139" s="198" t="s">
        <v>38</v>
      </c>
      <c r="Q139" s="122" t="s">
        <v>41</v>
      </c>
      <c r="W139" s="123">
        <f t="shared" si="3"/>
        <v>0</v>
      </c>
      <c r="X139" s="124">
        <v>2</v>
      </c>
      <c r="Y139" s="125" t="s">
        <v>189</v>
      </c>
      <c r="AD139" s="128" t="s">
        <v>93</v>
      </c>
    </row>
    <row r="140" spans="1:30">
      <c r="A140" s="47" t="s">
        <v>419</v>
      </c>
      <c r="B140" s="55" t="s">
        <v>420</v>
      </c>
      <c r="C140" s="49"/>
      <c r="D140" s="50">
        <v>20</v>
      </c>
      <c r="E140" s="51">
        <v>1</v>
      </c>
      <c r="F140" s="52" t="s">
        <v>62</v>
      </c>
      <c r="G140" s="175" t="s">
        <v>67</v>
      </c>
      <c r="I140" s="133"/>
      <c r="J140" s="121" t="s">
        <v>76</v>
      </c>
      <c r="K140" s="121" t="s">
        <v>47</v>
      </c>
      <c r="M140" s="121" t="s">
        <v>39</v>
      </c>
      <c r="N140" s="122"/>
      <c r="O140" s="122" t="s">
        <v>76</v>
      </c>
      <c r="P140" s="198" t="s">
        <v>47</v>
      </c>
      <c r="Q140" s="122"/>
      <c r="U140" s="123">
        <v>1</v>
      </c>
      <c r="W140" s="123">
        <f t="shared" si="3"/>
        <v>1</v>
      </c>
      <c r="X140" s="124">
        <v>1</v>
      </c>
      <c r="Y140" s="125" t="s">
        <v>421</v>
      </c>
      <c r="AD140" s="128" t="s">
        <v>422</v>
      </c>
    </row>
    <row r="141" spans="1:30">
      <c r="A141" s="47" t="s">
        <v>423</v>
      </c>
      <c r="B141" s="55" t="s">
        <v>424</v>
      </c>
      <c r="C141" s="49"/>
      <c r="D141" s="50">
        <v>20</v>
      </c>
      <c r="E141" s="51">
        <v>2</v>
      </c>
      <c r="F141" s="52" t="s">
        <v>62</v>
      </c>
      <c r="G141" s="175" t="s">
        <v>67</v>
      </c>
      <c r="I141" s="133"/>
      <c r="K141" s="121" t="s">
        <v>47</v>
      </c>
      <c r="M141" s="121" t="s">
        <v>39</v>
      </c>
      <c r="N141" s="122" t="s">
        <v>40</v>
      </c>
      <c r="O141" s="122" t="s">
        <v>76</v>
      </c>
      <c r="P141" s="198" t="s">
        <v>96</v>
      </c>
      <c r="Q141" s="122"/>
      <c r="U141" s="123">
        <v>1</v>
      </c>
      <c r="V141" s="123">
        <v>1</v>
      </c>
      <c r="W141" s="123">
        <f t="shared" si="3"/>
        <v>2</v>
      </c>
      <c r="X141" s="124">
        <v>1</v>
      </c>
      <c r="Y141" s="125" t="s">
        <v>213</v>
      </c>
      <c r="AD141" s="128" t="s">
        <v>134</v>
      </c>
    </row>
    <row r="142" spans="1:30">
      <c r="A142" s="47" t="s">
        <v>425</v>
      </c>
      <c r="B142" s="55" t="s">
        <v>426</v>
      </c>
      <c r="C142" s="49"/>
      <c r="D142" s="50">
        <v>20</v>
      </c>
      <c r="E142" s="51">
        <v>3</v>
      </c>
      <c r="F142" s="52" t="s">
        <v>62</v>
      </c>
      <c r="G142" s="175" t="s">
        <v>67</v>
      </c>
      <c r="I142" s="133"/>
      <c r="K142" s="121" t="s">
        <v>47</v>
      </c>
      <c r="M142" s="121" t="s">
        <v>39</v>
      </c>
      <c r="N142" s="122"/>
      <c r="O142" s="122" t="s">
        <v>140</v>
      </c>
      <c r="P142" s="198" t="s">
        <v>96</v>
      </c>
      <c r="Q142" s="122"/>
      <c r="U142" s="123">
        <v>1</v>
      </c>
      <c r="W142" s="123">
        <f t="shared" si="3"/>
        <v>1</v>
      </c>
      <c r="X142" s="124">
        <v>5</v>
      </c>
      <c r="Y142" s="125" t="s">
        <v>213</v>
      </c>
      <c r="Z142" s="126" t="s">
        <v>59</v>
      </c>
      <c r="AD142" s="128" t="s">
        <v>151</v>
      </c>
    </row>
    <row r="143" spans="1:30">
      <c r="A143" s="47" t="s">
        <v>427</v>
      </c>
      <c r="B143" s="55" t="s">
        <v>428</v>
      </c>
      <c r="C143" s="49"/>
      <c r="D143" s="50">
        <v>21</v>
      </c>
      <c r="E143" s="51">
        <v>1</v>
      </c>
      <c r="F143" s="52" t="s">
        <v>62</v>
      </c>
      <c r="G143" s="175" t="s">
        <v>192</v>
      </c>
      <c r="I143" s="133"/>
      <c r="M143" s="121" t="s">
        <v>39</v>
      </c>
      <c r="N143" s="122" t="s">
        <v>71</v>
      </c>
      <c r="O143" s="122"/>
      <c r="P143" s="198" t="s">
        <v>38</v>
      </c>
      <c r="Q143" s="122"/>
      <c r="R143" s="123">
        <v>1</v>
      </c>
      <c r="U143" s="123">
        <v>1</v>
      </c>
      <c r="W143" s="123">
        <f t="shared" si="3"/>
        <v>2</v>
      </c>
      <c r="X143" s="124">
        <v>5</v>
      </c>
      <c r="Y143" s="125">
        <v>3</v>
      </c>
      <c r="AD143" s="128" t="s">
        <v>429</v>
      </c>
    </row>
    <row r="144" spans="1:30">
      <c r="A144" s="47" t="s">
        <v>430</v>
      </c>
      <c r="B144" s="55" t="s">
        <v>431</v>
      </c>
      <c r="C144" s="49"/>
      <c r="D144" s="50">
        <v>22</v>
      </c>
      <c r="E144" s="51">
        <v>1</v>
      </c>
      <c r="F144" s="52" t="s">
        <v>62</v>
      </c>
      <c r="G144" s="175" t="s">
        <v>81</v>
      </c>
      <c r="I144" s="133"/>
      <c r="M144" s="121" t="s">
        <v>39</v>
      </c>
      <c r="N144" s="122" t="s">
        <v>40</v>
      </c>
      <c r="O144" s="122"/>
      <c r="P144" s="198" t="s">
        <v>38</v>
      </c>
      <c r="Q144" s="122"/>
      <c r="T144" s="123">
        <v>1</v>
      </c>
      <c r="U144" s="123">
        <v>1</v>
      </c>
      <c r="V144" s="123">
        <v>1</v>
      </c>
      <c r="W144" s="123">
        <f t="shared" si="3"/>
        <v>3</v>
      </c>
      <c r="X144" s="124">
        <v>2</v>
      </c>
      <c r="Y144" s="125">
        <v>3</v>
      </c>
      <c r="AD144" s="128" t="s">
        <v>82</v>
      </c>
    </row>
    <row r="145" spans="1:30">
      <c r="A145" s="47" t="s">
        <v>432</v>
      </c>
      <c r="B145" s="55" t="s">
        <v>433</v>
      </c>
      <c r="C145" s="49"/>
      <c r="D145" s="50">
        <v>22</v>
      </c>
      <c r="E145" s="51">
        <v>2</v>
      </c>
      <c r="F145" s="52" t="s">
        <v>62</v>
      </c>
      <c r="G145" s="175" t="s">
        <v>434</v>
      </c>
      <c r="I145" s="133"/>
      <c r="M145" s="121" t="s">
        <v>39</v>
      </c>
      <c r="N145" s="122" t="s">
        <v>71</v>
      </c>
      <c r="O145" s="122" t="s">
        <v>76</v>
      </c>
      <c r="P145" s="198" t="s">
        <v>38</v>
      </c>
      <c r="Q145" s="122"/>
      <c r="U145" s="123">
        <v>1</v>
      </c>
      <c r="V145" s="123">
        <v>1</v>
      </c>
      <c r="W145" s="123">
        <f t="shared" si="3"/>
        <v>2</v>
      </c>
      <c r="X145" s="124">
        <v>5</v>
      </c>
      <c r="Y145" s="125">
        <v>2</v>
      </c>
      <c r="AB145" s="127" t="s">
        <v>125</v>
      </c>
      <c r="AD145" s="128" t="s">
        <v>435</v>
      </c>
    </row>
    <row r="146" spans="1:30">
      <c r="A146" s="47" t="s">
        <v>436</v>
      </c>
      <c r="B146" s="55" t="s">
        <v>437</v>
      </c>
      <c r="C146" s="49"/>
      <c r="D146" s="50">
        <v>22</v>
      </c>
      <c r="E146" s="51">
        <v>3</v>
      </c>
      <c r="F146" s="52" t="s">
        <v>62</v>
      </c>
      <c r="G146" s="175" t="s">
        <v>81</v>
      </c>
      <c r="I146" s="133"/>
      <c r="K146" s="121" t="s">
        <v>47</v>
      </c>
      <c r="N146" s="122" t="s">
        <v>71</v>
      </c>
      <c r="O146" s="122" t="s">
        <v>140</v>
      </c>
      <c r="P146" s="198" t="s">
        <v>47</v>
      </c>
      <c r="Q146" s="122"/>
      <c r="R146" s="123">
        <v>1</v>
      </c>
      <c r="T146" s="123">
        <v>1</v>
      </c>
      <c r="W146" s="123">
        <f t="shared" si="3"/>
        <v>2</v>
      </c>
      <c r="X146" s="124">
        <v>1</v>
      </c>
      <c r="Y146" s="125">
        <v>3</v>
      </c>
      <c r="Z146" s="126" t="s">
        <v>59</v>
      </c>
      <c r="AD146" s="128" t="s">
        <v>438</v>
      </c>
    </row>
    <row r="147" spans="1:30">
      <c r="A147" s="47" t="s">
        <v>439</v>
      </c>
      <c r="B147" s="55" t="s">
        <v>440</v>
      </c>
      <c r="C147" s="49"/>
      <c r="D147" s="50">
        <v>22</v>
      </c>
      <c r="E147" s="51">
        <v>4</v>
      </c>
      <c r="F147" s="52" t="s">
        <v>62</v>
      </c>
      <c r="G147" s="175" t="s">
        <v>81</v>
      </c>
      <c r="I147" s="133"/>
      <c r="K147" s="121" t="s">
        <v>47</v>
      </c>
      <c r="M147" s="121" t="s">
        <v>39</v>
      </c>
      <c r="N147" s="122" t="s">
        <v>53</v>
      </c>
      <c r="O147" s="122"/>
      <c r="P147" s="198" t="s">
        <v>47</v>
      </c>
      <c r="Q147" s="122"/>
      <c r="R147" s="123">
        <v>1</v>
      </c>
      <c r="T147" s="123">
        <v>1</v>
      </c>
      <c r="U147" s="123">
        <v>1</v>
      </c>
      <c r="V147" s="123">
        <v>1</v>
      </c>
      <c r="W147" s="123">
        <f t="shared" si="3"/>
        <v>4</v>
      </c>
      <c r="X147" s="124">
        <v>2</v>
      </c>
      <c r="Y147" s="125" t="s">
        <v>88</v>
      </c>
      <c r="AD147" s="128" t="s">
        <v>93</v>
      </c>
    </row>
    <row r="148" spans="1:30">
      <c r="A148" s="47" t="s">
        <v>441</v>
      </c>
      <c r="B148" s="55" t="s">
        <v>442</v>
      </c>
      <c r="C148" s="49"/>
      <c r="D148" s="50">
        <v>23</v>
      </c>
      <c r="E148" s="51">
        <v>1</v>
      </c>
      <c r="F148" s="52" t="s">
        <v>36</v>
      </c>
      <c r="G148" s="175" t="s">
        <v>81</v>
      </c>
      <c r="I148" s="133"/>
      <c r="M148" s="121" t="s">
        <v>39</v>
      </c>
      <c r="N148" s="122"/>
      <c r="O148" s="122" t="s">
        <v>76</v>
      </c>
      <c r="P148" s="198" t="s">
        <v>47</v>
      </c>
      <c r="Q148" s="122"/>
      <c r="S148" s="123">
        <v>1</v>
      </c>
      <c r="U148" s="123">
        <v>1</v>
      </c>
      <c r="V148" s="123">
        <v>1</v>
      </c>
      <c r="W148" s="123">
        <f t="shared" si="3"/>
        <v>3</v>
      </c>
      <c r="X148" s="124">
        <v>2</v>
      </c>
      <c r="Y148" s="125">
        <v>3</v>
      </c>
      <c r="AD148" s="128" t="s">
        <v>82</v>
      </c>
    </row>
    <row r="149" spans="1:30">
      <c r="A149" s="47" t="s">
        <v>443</v>
      </c>
      <c r="B149" s="55" t="s">
        <v>444</v>
      </c>
      <c r="C149" s="49"/>
      <c r="D149" s="50">
        <v>23</v>
      </c>
      <c r="E149" s="51">
        <v>3</v>
      </c>
      <c r="F149" s="52" t="s">
        <v>36</v>
      </c>
      <c r="G149" s="175" t="s">
        <v>92</v>
      </c>
      <c r="I149" s="133"/>
      <c r="J149" s="121" t="s">
        <v>76</v>
      </c>
      <c r="N149" s="122" t="s">
        <v>40</v>
      </c>
      <c r="O149" s="122" t="s">
        <v>76</v>
      </c>
      <c r="P149" s="198" t="s">
        <v>47</v>
      </c>
      <c r="Q149" s="122" t="s">
        <v>41</v>
      </c>
      <c r="S149" s="123">
        <v>1</v>
      </c>
      <c r="W149" s="123">
        <f t="shared" si="3"/>
        <v>1</v>
      </c>
      <c r="X149" s="124">
        <v>2</v>
      </c>
      <c r="Y149" s="125">
        <v>4</v>
      </c>
      <c r="AC149" s="127" t="s">
        <v>202</v>
      </c>
      <c r="AD149" s="128" t="s">
        <v>445</v>
      </c>
    </row>
    <row r="150" spans="1:30">
      <c r="A150" s="47" t="s">
        <v>446</v>
      </c>
      <c r="B150" s="55" t="s">
        <v>447</v>
      </c>
      <c r="C150" s="49"/>
      <c r="D150" s="50">
        <v>24</v>
      </c>
      <c r="E150" s="51">
        <v>1</v>
      </c>
      <c r="F150" s="52" t="s">
        <v>62</v>
      </c>
      <c r="G150" s="175" t="s">
        <v>81</v>
      </c>
      <c r="I150" s="133"/>
      <c r="K150" s="121" t="s">
        <v>47</v>
      </c>
      <c r="N150" s="122"/>
      <c r="O150" s="122" t="s">
        <v>76</v>
      </c>
      <c r="P150" s="198" t="s">
        <v>47</v>
      </c>
      <c r="Q150" s="122" t="s">
        <v>41</v>
      </c>
      <c r="R150" s="123">
        <v>1</v>
      </c>
      <c r="U150" s="123">
        <v>1</v>
      </c>
      <c r="V150" s="123">
        <v>1</v>
      </c>
      <c r="W150" s="123">
        <f t="shared" si="3"/>
        <v>3</v>
      </c>
      <c r="X150" s="124">
        <v>4</v>
      </c>
      <c r="Y150" s="125">
        <v>3</v>
      </c>
      <c r="AD150" s="128" t="s">
        <v>225</v>
      </c>
    </row>
    <row r="151" spans="1:30">
      <c r="A151" s="47" t="s">
        <v>448</v>
      </c>
      <c r="B151" s="55" t="s">
        <v>449</v>
      </c>
      <c r="C151" s="49"/>
      <c r="D151" s="50">
        <v>24</v>
      </c>
      <c r="E151" s="51">
        <v>2</v>
      </c>
      <c r="F151" s="52" t="s">
        <v>62</v>
      </c>
      <c r="G151" s="175" t="s">
        <v>192</v>
      </c>
      <c r="I151" s="133"/>
      <c r="K151" s="121" t="s">
        <v>47</v>
      </c>
      <c r="N151" s="122"/>
      <c r="O151" s="122" t="s">
        <v>76</v>
      </c>
      <c r="P151" s="198" t="s">
        <v>96</v>
      </c>
      <c r="Q151" s="122"/>
      <c r="T151" s="123">
        <v>1</v>
      </c>
      <c r="W151" s="123">
        <f t="shared" si="3"/>
        <v>1</v>
      </c>
      <c r="X151" s="124">
        <v>2</v>
      </c>
      <c r="Y151" s="125">
        <v>3</v>
      </c>
      <c r="AD151" s="128">
        <v>6</v>
      </c>
    </row>
    <row r="152" spans="1:30">
      <c r="A152" s="47" t="s">
        <v>450</v>
      </c>
      <c r="B152" s="55" t="s">
        <v>451</v>
      </c>
      <c r="C152" s="49"/>
      <c r="D152" s="50">
        <v>24</v>
      </c>
      <c r="E152" s="51">
        <v>3</v>
      </c>
      <c r="F152" s="52" t="s">
        <v>62</v>
      </c>
      <c r="G152" s="175" t="s">
        <v>111</v>
      </c>
      <c r="I152" s="133"/>
      <c r="K152" s="121" t="s">
        <v>47</v>
      </c>
      <c r="N152" s="122" t="s">
        <v>71</v>
      </c>
      <c r="O152" s="122" t="s">
        <v>76</v>
      </c>
      <c r="P152" s="198" t="s">
        <v>47</v>
      </c>
      <c r="Q152" s="122" t="s">
        <v>41</v>
      </c>
      <c r="U152" s="123">
        <v>1</v>
      </c>
      <c r="W152" s="123">
        <f t="shared" si="3"/>
        <v>1</v>
      </c>
      <c r="X152" s="124">
        <v>2</v>
      </c>
      <c r="Y152" s="125">
        <v>2</v>
      </c>
      <c r="AD152" s="128" t="s">
        <v>214</v>
      </c>
    </row>
    <row r="153" spans="1:30">
      <c r="A153" s="47" t="s">
        <v>452</v>
      </c>
      <c r="B153" s="55" t="s">
        <v>453</v>
      </c>
      <c r="C153" s="49"/>
      <c r="D153" s="50">
        <v>24</v>
      </c>
      <c r="E153" s="51">
        <v>4</v>
      </c>
      <c r="F153" s="52" t="s">
        <v>62</v>
      </c>
      <c r="G153" s="175" t="s">
        <v>81</v>
      </c>
      <c r="I153" s="133"/>
      <c r="K153" s="121" t="s">
        <v>47</v>
      </c>
      <c r="N153" s="122" t="s">
        <v>40</v>
      </c>
      <c r="O153" s="122" t="s">
        <v>76</v>
      </c>
      <c r="P153" s="198" t="s">
        <v>47</v>
      </c>
      <c r="Q153" s="122" t="s">
        <v>41</v>
      </c>
      <c r="R153" s="123">
        <v>1</v>
      </c>
      <c r="U153" s="123">
        <v>1</v>
      </c>
      <c r="W153" s="123">
        <f t="shared" si="3"/>
        <v>2</v>
      </c>
      <c r="X153" s="124">
        <v>2</v>
      </c>
      <c r="Y153" s="125">
        <v>5</v>
      </c>
      <c r="AD153" s="128" t="s">
        <v>260</v>
      </c>
    </row>
    <row r="154" spans="1:30">
      <c r="A154" s="47" t="s">
        <v>454</v>
      </c>
      <c r="B154" s="55" t="s">
        <v>455</v>
      </c>
      <c r="C154" s="49"/>
      <c r="D154" s="50">
        <v>25</v>
      </c>
      <c r="E154" s="51">
        <v>1</v>
      </c>
      <c r="F154" s="52" t="s">
        <v>62</v>
      </c>
      <c r="G154" s="175" t="s">
        <v>172</v>
      </c>
      <c r="I154" s="133" t="s">
        <v>40</v>
      </c>
      <c r="K154" s="121" t="s">
        <v>38</v>
      </c>
      <c r="N154" s="122" t="s">
        <v>40</v>
      </c>
      <c r="O154" s="122" t="s">
        <v>76</v>
      </c>
      <c r="P154" s="198" t="s">
        <v>38</v>
      </c>
      <c r="Q154" s="122" t="s">
        <v>41</v>
      </c>
      <c r="W154" s="123">
        <f t="shared" si="3"/>
        <v>0</v>
      </c>
      <c r="X154" s="124">
        <v>2</v>
      </c>
      <c r="Y154" s="125">
        <v>2</v>
      </c>
      <c r="AD154" s="128" t="s">
        <v>221</v>
      </c>
    </row>
    <row r="155" spans="1:30">
      <c r="A155" s="47" t="s">
        <v>456</v>
      </c>
      <c r="B155" s="55" t="s">
        <v>457</v>
      </c>
      <c r="C155" s="49"/>
      <c r="D155" s="50">
        <v>25</v>
      </c>
      <c r="E155" s="51">
        <v>2</v>
      </c>
      <c r="F155" s="52" t="s">
        <v>62</v>
      </c>
      <c r="G155" s="175" t="s">
        <v>81</v>
      </c>
      <c r="I155" s="133"/>
      <c r="K155" s="121" t="s">
        <v>47</v>
      </c>
      <c r="N155" s="122"/>
      <c r="O155" s="122" t="s">
        <v>57</v>
      </c>
      <c r="P155" s="198" t="s">
        <v>47</v>
      </c>
      <c r="Q155" s="122" t="s">
        <v>41</v>
      </c>
      <c r="V155" s="123">
        <v>1</v>
      </c>
      <c r="W155" s="123">
        <f t="shared" si="3"/>
        <v>1</v>
      </c>
      <c r="X155" s="124">
        <v>2</v>
      </c>
      <c r="Y155" s="125">
        <v>3</v>
      </c>
      <c r="Z155" s="126" t="s">
        <v>458</v>
      </c>
      <c r="AD155" s="128">
        <v>6</v>
      </c>
    </row>
    <row r="156" spans="1:30">
      <c r="A156" s="47" t="s">
        <v>459</v>
      </c>
      <c r="B156" s="55" t="s">
        <v>460</v>
      </c>
      <c r="C156" s="49"/>
      <c r="D156" s="50">
        <v>25</v>
      </c>
      <c r="E156" s="51">
        <v>3</v>
      </c>
      <c r="F156" s="52" t="s">
        <v>62</v>
      </c>
      <c r="G156" s="175" t="s">
        <v>67</v>
      </c>
      <c r="I156" s="133"/>
      <c r="K156" s="121" t="s">
        <v>47</v>
      </c>
      <c r="N156" s="122" t="s">
        <v>53</v>
      </c>
      <c r="O156" s="122" t="s">
        <v>76</v>
      </c>
      <c r="P156" s="198" t="s">
        <v>47</v>
      </c>
      <c r="Q156" s="122"/>
      <c r="S156" s="123">
        <v>1</v>
      </c>
      <c r="T156" s="123">
        <v>1</v>
      </c>
      <c r="W156" s="123">
        <f t="shared" si="3"/>
        <v>2</v>
      </c>
      <c r="X156" s="124">
        <v>5</v>
      </c>
      <c r="Y156" s="125">
        <v>5</v>
      </c>
      <c r="AD156" s="128" t="s">
        <v>154</v>
      </c>
    </row>
    <row r="157" spans="1:30">
      <c r="A157" s="47" t="s">
        <v>461</v>
      </c>
      <c r="B157" s="55" t="s">
        <v>462</v>
      </c>
      <c r="C157" s="49" t="s">
        <v>463</v>
      </c>
      <c r="D157" s="50">
        <v>26</v>
      </c>
      <c r="E157" s="51">
        <v>1</v>
      </c>
      <c r="F157" s="52" t="s">
        <v>62</v>
      </c>
      <c r="G157" s="175" t="s">
        <v>81</v>
      </c>
      <c r="H157" s="53" t="s">
        <v>464</v>
      </c>
      <c r="I157" s="133"/>
      <c r="K157" s="121" t="s">
        <v>47</v>
      </c>
      <c r="N157" s="122"/>
      <c r="O157" s="122" t="s">
        <v>76</v>
      </c>
      <c r="P157" s="198" t="s">
        <v>47</v>
      </c>
      <c r="Q157" s="122"/>
      <c r="S157" s="123">
        <v>1</v>
      </c>
      <c r="U157" s="123">
        <v>1</v>
      </c>
      <c r="W157" s="123">
        <f t="shared" si="3"/>
        <v>2</v>
      </c>
      <c r="X157" s="124">
        <v>4</v>
      </c>
      <c r="Y157" s="125">
        <v>1</v>
      </c>
    </row>
    <row r="158" spans="1:30" ht="16.5">
      <c r="A158" s="47" t="s">
        <v>465</v>
      </c>
      <c r="B158" s="55" t="s">
        <v>466</v>
      </c>
      <c r="C158" s="49" t="s">
        <v>467</v>
      </c>
      <c r="D158" s="50">
        <v>26</v>
      </c>
      <c r="E158" s="51">
        <v>2</v>
      </c>
      <c r="F158" s="52" t="s">
        <v>62</v>
      </c>
      <c r="G158" s="175" t="s">
        <v>172</v>
      </c>
      <c r="H158" s="53" t="s">
        <v>468</v>
      </c>
      <c r="I158" s="133"/>
      <c r="K158" s="121" t="s">
        <v>38</v>
      </c>
      <c r="N158" s="122" t="s">
        <v>53</v>
      </c>
      <c r="O158" s="122" t="s">
        <v>140</v>
      </c>
      <c r="P158" s="198" t="s">
        <v>38</v>
      </c>
      <c r="Q158" s="122" t="s">
        <v>342</v>
      </c>
      <c r="T158" s="123">
        <v>1</v>
      </c>
      <c r="V158" s="123">
        <v>1</v>
      </c>
      <c r="W158" s="123">
        <f t="shared" si="3"/>
        <v>2</v>
      </c>
      <c r="X158" s="124">
        <v>1</v>
      </c>
      <c r="Y158" s="125">
        <v>2</v>
      </c>
      <c r="Z158" s="126" t="s">
        <v>59</v>
      </c>
      <c r="AA158" s="127" t="s">
        <v>113</v>
      </c>
      <c r="AD158" s="128" t="s">
        <v>469</v>
      </c>
    </row>
    <row r="159" spans="1:30" ht="16.5">
      <c r="A159" s="47" t="s">
        <v>470</v>
      </c>
      <c r="B159" s="55" t="s">
        <v>471</v>
      </c>
      <c r="C159" s="49" t="s">
        <v>472</v>
      </c>
      <c r="D159" s="50">
        <v>26</v>
      </c>
      <c r="E159" s="51">
        <v>3</v>
      </c>
      <c r="F159" s="52" t="s">
        <v>62</v>
      </c>
      <c r="G159" s="175" t="s">
        <v>81</v>
      </c>
      <c r="H159" s="53" t="s">
        <v>473</v>
      </c>
      <c r="I159" s="133"/>
      <c r="K159" s="121" t="s">
        <v>47</v>
      </c>
      <c r="N159" s="122" t="s">
        <v>71</v>
      </c>
      <c r="O159" s="122" t="s">
        <v>140</v>
      </c>
      <c r="P159" s="198" t="s">
        <v>47</v>
      </c>
      <c r="Q159" s="122" t="s">
        <v>342</v>
      </c>
      <c r="W159" s="123">
        <f t="shared" si="3"/>
        <v>0</v>
      </c>
      <c r="X159" s="124">
        <v>2</v>
      </c>
      <c r="Y159" s="125">
        <v>5</v>
      </c>
      <c r="Z159" s="126" t="s">
        <v>59</v>
      </c>
      <c r="AA159" s="127" t="s">
        <v>113</v>
      </c>
      <c r="AD159" s="128" t="s">
        <v>105</v>
      </c>
    </row>
    <row r="160" spans="1:30">
      <c r="A160" s="47" t="s">
        <v>474</v>
      </c>
      <c r="B160" s="55" t="s">
        <v>475</v>
      </c>
      <c r="C160" s="49"/>
      <c r="D160" s="50">
        <v>27</v>
      </c>
      <c r="E160" s="51">
        <v>1</v>
      </c>
      <c r="F160" s="52" t="s">
        <v>62</v>
      </c>
      <c r="G160" s="175" t="s">
        <v>172</v>
      </c>
      <c r="I160" s="133"/>
      <c r="K160" s="121" t="s">
        <v>38</v>
      </c>
      <c r="L160" s="121" t="s">
        <v>41</v>
      </c>
      <c r="N160" s="122"/>
      <c r="O160" s="122" t="s">
        <v>140</v>
      </c>
      <c r="P160" s="198" t="s">
        <v>38</v>
      </c>
      <c r="Q160" s="122" t="s">
        <v>41</v>
      </c>
      <c r="R160" s="123">
        <v>1</v>
      </c>
      <c r="W160" s="123">
        <f t="shared" si="3"/>
        <v>1</v>
      </c>
      <c r="X160" s="124">
        <v>2</v>
      </c>
      <c r="Y160" s="125" t="s">
        <v>476</v>
      </c>
      <c r="Z160" s="126" t="s">
        <v>59</v>
      </c>
      <c r="AD160" s="128" t="s">
        <v>435</v>
      </c>
    </row>
    <row r="161" spans="1:30">
      <c r="A161" s="47" t="s">
        <v>477</v>
      </c>
      <c r="B161" s="55" t="s">
        <v>478</v>
      </c>
      <c r="C161" s="49"/>
      <c r="D161" s="50">
        <v>27</v>
      </c>
      <c r="E161" s="51">
        <v>2</v>
      </c>
      <c r="F161" s="52" t="s">
        <v>62</v>
      </c>
      <c r="G161" s="175" t="s">
        <v>172</v>
      </c>
      <c r="I161" s="133"/>
      <c r="K161" s="121" t="s">
        <v>38</v>
      </c>
      <c r="N161" s="122" t="s">
        <v>40</v>
      </c>
      <c r="O161" s="122"/>
      <c r="P161" s="198" t="s">
        <v>38</v>
      </c>
      <c r="Q161" s="122"/>
      <c r="U161" s="123">
        <v>1</v>
      </c>
      <c r="V161" s="123">
        <v>1</v>
      </c>
      <c r="W161" s="123">
        <f t="shared" si="3"/>
        <v>2</v>
      </c>
      <c r="X161" s="124">
        <v>2</v>
      </c>
      <c r="Y161" s="125">
        <v>2</v>
      </c>
      <c r="AD161" s="128" t="s">
        <v>157</v>
      </c>
    </row>
    <row r="162" spans="1:30">
      <c r="A162" s="47" t="s">
        <v>479</v>
      </c>
      <c r="B162" s="55" t="s">
        <v>480</v>
      </c>
      <c r="C162" s="49"/>
      <c r="D162" s="50">
        <v>27</v>
      </c>
      <c r="E162" s="51">
        <v>3</v>
      </c>
      <c r="F162" s="52" t="s">
        <v>62</v>
      </c>
      <c r="G162" s="175" t="s">
        <v>81</v>
      </c>
      <c r="I162" s="133"/>
      <c r="K162" s="121" t="s">
        <v>47</v>
      </c>
      <c r="N162" s="122" t="s">
        <v>40</v>
      </c>
      <c r="O162" s="122"/>
      <c r="P162" s="198" t="s">
        <v>47</v>
      </c>
      <c r="Q162" s="122" t="s">
        <v>41</v>
      </c>
      <c r="W162" s="123">
        <f t="shared" si="3"/>
        <v>0</v>
      </c>
      <c r="X162" s="124">
        <v>2</v>
      </c>
      <c r="Y162" s="125">
        <v>3</v>
      </c>
      <c r="AD162" s="128" t="s">
        <v>137</v>
      </c>
    </row>
    <row r="163" spans="1:30">
      <c r="A163" s="47" t="s">
        <v>481</v>
      </c>
      <c r="B163" s="55" t="s">
        <v>482</v>
      </c>
      <c r="C163" s="49"/>
      <c r="D163" s="50">
        <v>27</v>
      </c>
      <c r="E163" s="51">
        <v>4</v>
      </c>
      <c r="F163" s="52" t="s">
        <v>62</v>
      </c>
      <c r="G163" s="175" t="s">
        <v>46</v>
      </c>
      <c r="I163" s="133"/>
      <c r="K163" s="121" t="s">
        <v>47</v>
      </c>
      <c r="N163" s="122" t="s">
        <v>71</v>
      </c>
      <c r="O163" s="122" t="s">
        <v>140</v>
      </c>
      <c r="P163" s="198" t="s">
        <v>47</v>
      </c>
      <c r="Q163" s="122" t="s">
        <v>41</v>
      </c>
      <c r="R163" s="123">
        <v>1</v>
      </c>
      <c r="T163" s="123">
        <v>1</v>
      </c>
      <c r="V163" s="123">
        <v>1</v>
      </c>
      <c r="W163" s="123">
        <f t="shared" si="3"/>
        <v>3</v>
      </c>
      <c r="X163" s="124">
        <v>2</v>
      </c>
      <c r="Y163" s="125">
        <v>3</v>
      </c>
      <c r="Z163" s="126" t="s">
        <v>59</v>
      </c>
      <c r="AD163" s="128" t="s">
        <v>181</v>
      </c>
    </row>
    <row r="164" spans="1:30">
      <c r="A164" s="47" t="s">
        <v>483</v>
      </c>
      <c r="B164" s="55" t="s">
        <v>484</v>
      </c>
      <c r="C164" s="49"/>
      <c r="D164" s="50">
        <v>28</v>
      </c>
      <c r="E164" s="51">
        <v>1</v>
      </c>
      <c r="F164" s="52" t="s">
        <v>36</v>
      </c>
      <c r="G164" s="175" t="s">
        <v>81</v>
      </c>
      <c r="I164" s="133" t="s">
        <v>40</v>
      </c>
      <c r="K164" s="121" t="s">
        <v>38</v>
      </c>
      <c r="N164" s="122" t="s">
        <v>40</v>
      </c>
      <c r="O164" s="122" t="s">
        <v>76</v>
      </c>
      <c r="P164" s="198" t="s">
        <v>38</v>
      </c>
      <c r="Q164" s="122"/>
      <c r="T164" s="123">
        <v>1</v>
      </c>
      <c r="U164" s="123">
        <v>1</v>
      </c>
      <c r="W164" s="123">
        <f t="shared" si="3"/>
        <v>2</v>
      </c>
      <c r="X164" s="124">
        <v>2</v>
      </c>
      <c r="Y164" s="125">
        <v>2</v>
      </c>
      <c r="AD164" s="128" t="s">
        <v>485</v>
      </c>
    </row>
    <row r="165" spans="1:30">
      <c r="A165" s="47" t="s">
        <v>486</v>
      </c>
      <c r="B165" s="55" t="s">
        <v>487</v>
      </c>
      <c r="C165" s="49" t="s">
        <v>488</v>
      </c>
      <c r="D165" s="50">
        <v>28</v>
      </c>
      <c r="E165" s="51">
        <v>3</v>
      </c>
      <c r="F165" s="52" t="s">
        <v>36</v>
      </c>
      <c r="G165" s="175" t="s">
        <v>412</v>
      </c>
      <c r="H165" s="53" t="s">
        <v>489</v>
      </c>
      <c r="I165" s="133"/>
      <c r="K165" s="121" t="s">
        <v>47</v>
      </c>
      <c r="N165" s="122" t="s">
        <v>71</v>
      </c>
      <c r="O165" s="122" t="s">
        <v>140</v>
      </c>
      <c r="P165" s="198" t="s">
        <v>47</v>
      </c>
      <c r="Q165" s="122" t="s">
        <v>41</v>
      </c>
      <c r="R165" s="123">
        <v>1</v>
      </c>
      <c r="W165" s="123">
        <f t="shared" si="3"/>
        <v>1</v>
      </c>
      <c r="X165" s="124">
        <v>5</v>
      </c>
      <c r="Y165" s="125">
        <v>3</v>
      </c>
      <c r="Z165" s="126" t="s">
        <v>59</v>
      </c>
      <c r="AD165" s="128" t="s">
        <v>72</v>
      </c>
    </row>
    <row r="166" spans="1:30" ht="16.5">
      <c r="A166" s="47" t="s">
        <v>490</v>
      </c>
      <c r="B166" s="55" t="s">
        <v>491</v>
      </c>
      <c r="C166" s="49" t="s">
        <v>492</v>
      </c>
      <c r="D166" s="50">
        <v>29</v>
      </c>
      <c r="E166" s="51">
        <v>1</v>
      </c>
      <c r="F166" s="52" t="s">
        <v>62</v>
      </c>
      <c r="G166" s="175" t="s">
        <v>67</v>
      </c>
      <c r="H166" s="53" t="s">
        <v>493</v>
      </c>
      <c r="I166" s="133" t="s">
        <v>40</v>
      </c>
      <c r="L166" s="121" t="s">
        <v>41</v>
      </c>
      <c r="N166" s="122" t="s">
        <v>40</v>
      </c>
      <c r="O166" s="122" t="s">
        <v>76</v>
      </c>
      <c r="P166" s="198" t="s">
        <v>47</v>
      </c>
      <c r="Q166" s="122" t="s">
        <v>41</v>
      </c>
      <c r="W166" s="123">
        <f t="shared" si="3"/>
        <v>0</v>
      </c>
      <c r="X166" s="124">
        <v>2</v>
      </c>
      <c r="Y166" s="125">
        <v>2</v>
      </c>
      <c r="AD166" s="128" t="s">
        <v>221</v>
      </c>
    </row>
    <row r="167" spans="1:30">
      <c r="A167" s="47" t="s">
        <v>494</v>
      </c>
      <c r="B167" s="55" t="s">
        <v>495</v>
      </c>
      <c r="C167" s="49"/>
      <c r="D167" s="50">
        <v>29</v>
      </c>
      <c r="E167" s="51">
        <v>2</v>
      </c>
      <c r="F167" s="52" t="s">
        <v>62</v>
      </c>
      <c r="G167" s="175" t="s">
        <v>85</v>
      </c>
      <c r="I167" s="133"/>
      <c r="M167" s="121" t="s">
        <v>39</v>
      </c>
      <c r="N167" s="122" t="s">
        <v>71</v>
      </c>
      <c r="O167" s="122" t="s">
        <v>57</v>
      </c>
      <c r="P167" s="198" t="s">
        <v>38</v>
      </c>
      <c r="Q167" s="122"/>
      <c r="U167" s="123">
        <v>1</v>
      </c>
      <c r="V167" s="123">
        <v>1</v>
      </c>
      <c r="W167" s="123">
        <f t="shared" si="3"/>
        <v>2</v>
      </c>
      <c r="X167" s="124">
        <v>2</v>
      </c>
      <c r="Y167" s="125">
        <v>3</v>
      </c>
      <c r="Z167" s="126" t="s">
        <v>59</v>
      </c>
      <c r="AD167" s="128" t="s">
        <v>119</v>
      </c>
    </row>
    <row r="168" spans="1:30">
      <c r="A168" s="47" t="s">
        <v>496</v>
      </c>
      <c r="B168" s="55" t="s">
        <v>497</v>
      </c>
      <c r="C168" s="49"/>
      <c r="D168" s="50">
        <v>29</v>
      </c>
      <c r="E168" s="51">
        <v>3</v>
      </c>
      <c r="F168" s="52" t="s">
        <v>62</v>
      </c>
      <c r="G168" s="175" t="s">
        <v>81</v>
      </c>
      <c r="I168" s="133"/>
      <c r="K168" s="121" t="s">
        <v>47</v>
      </c>
      <c r="N168" s="122" t="s">
        <v>40</v>
      </c>
      <c r="O168" s="122" t="s">
        <v>76</v>
      </c>
      <c r="P168" s="198" t="s">
        <v>47</v>
      </c>
      <c r="Q168" s="122"/>
      <c r="U168" s="123">
        <v>1</v>
      </c>
      <c r="W168" s="123">
        <f t="shared" si="3"/>
        <v>1</v>
      </c>
      <c r="X168" s="124">
        <v>2</v>
      </c>
      <c r="Y168" s="125">
        <v>3</v>
      </c>
      <c r="AD168" s="128" t="s">
        <v>498</v>
      </c>
    </row>
    <row r="169" spans="1:30">
      <c r="A169" s="47" t="s">
        <v>499</v>
      </c>
      <c r="B169" s="55" t="s">
        <v>500</v>
      </c>
      <c r="C169" s="49"/>
      <c r="D169" s="50">
        <v>29</v>
      </c>
      <c r="E169" s="51">
        <v>4</v>
      </c>
      <c r="F169" s="52" t="s">
        <v>62</v>
      </c>
      <c r="G169" s="175" t="s">
        <v>81</v>
      </c>
      <c r="I169" s="133" t="s">
        <v>40</v>
      </c>
      <c r="K169" s="121" t="s">
        <v>47</v>
      </c>
      <c r="N169" s="122" t="s">
        <v>40</v>
      </c>
      <c r="O169" s="122" t="s">
        <v>76</v>
      </c>
      <c r="P169" s="198" t="s">
        <v>47</v>
      </c>
      <c r="Q169" s="122" t="s">
        <v>41</v>
      </c>
      <c r="R169" s="123">
        <v>1</v>
      </c>
      <c r="W169" s="123">
        <f t="shared" si="3"/>
        <v>1</v>
      </c>
      <c r="X169" s="124">
        <v>1</v>
      </c>
      <c r="Y169" s="125">
        <v>3</v>
      </c>
      <c r="AD169" s="128">
        <v>4</v>
      </c>
    </row>
    <row r="170" spans="1:30">
      <c r="A170" s="47" t="s">
        <v>501</v>
      </c>
      <c r="B170" s="55" t="s">
        <v>502</v>
      </c>
      <c r="C170" s="49"/>
      <c r="D170" s="50">
        <v>29</v>
      </c>
      <c r="E170" s="51">
        <v>5</v>
      </c>
      <c r="F170" s="52" t="s">
        <v>62</v>
      </c>
      <c r="G170" s="175" t="s">
        <v>81</v>
      </c>
      <c r="I170" s="133" t="s">
        <v>40</v>
      </c>
      <c r="M170" s="121" t="s">
        <v>39</v>
      </c>
      <c r="N170" s="122" t="s">
        <v>40</v>
      </c>
      <c r="O170" s="122" t="s">
        <v>76</v>
      </c>
      <c r="P170" s="198" t="s">
        <v>47</v>
      </c>
      <c r="Q170" s="122" t="s">
        <v>41</v>
      </c>
      <c r="U170" s="123">
        <v>1</v>
      </c>
      <c r="W170" s="123">
        <f t="shared" si="3"/>
        <v>1</v>
      </c>
      <c r="X170" s="124">
        <v>2</v>
      </c>
      <c r="Y170" s="125">
        <v>2</v>
      </c>
      <c r="AD170" s="128" t="s">
        <v>485</v>
      </c>
    </row>
    <row r="171" spans="1:30" ht="16.5">
      <c r="A171" s="47" t="s">
        <v>503</v>
      </c>
      <c r="B171" s="55" t="s">
        <v>504</v>
      </c>
      <c r="C171" s="49"/>
      <c r="D171" s="50">
        <v>30</v>
      </c>
      <c r="E171" s="51">
        <v>1</v>
      </c>
      <c r="F171" s="52" t="s">
        <v>62</v>
      </c>
      <c r="G171" s="179" t="s">
        <v>81</v>
      </c>
      <c r="I171" s="133"/>
      <c r="J171" s="121" t="s">
        <v>76</v>
      </c>
      <c r="M171" s="121" t="s">
        <v>39</v>
      </c>
      <c r="N171" s="122" t="s">
        <v>40</v>
      </c>
      <c r="O171" s="122" t="s">
        <v>76</v>
      </c>
      <c r="P171" s="198" t="s">
        <v>38</v>
      </c>
      <c r="Q171" s="122"/>
      <c r="T171" s="123">
        <v>1</v>
      </c>
      <c r="U171" s="123">
        <v>1</v>
      </c>
      <c r="W171" s="123">
        <f t="shared" si="3"/>
        <v>2</v>
      </c>
      <c r="X171" s="124">
        <v>2</v>
      </c>
      <c r="Y171" s="125" t="s">
        <v>213</v>
      </c>
      <c r="AD171" s="128" t="s">
        <v>137</v>
      </c>
    </row>
    <row r="172" spans="1:30" ht="16.5">
      <c r="A172" s="47" t="s">
        <v>505</v>
      </c>
      <c r="B172" s="55" t="s">
        <v>506</v>
      </c>
      <c r="C172" s="49"/>
      <c r="D172" s="50">
        <v>30</v>
      </c>
      <c r="E172" s="51">
        <v>2</v>
      </c>
      <c r="F172" s="52" t="s">
        <v>62</v>
      </c>
      <c r="G172" s="179" t="s">
        <v>81</v>
      </c>
      <c r="I172" s="133"/>
      <c r="K172" s="121" t="s">
        <v>47</v>
      </c>
      <c r="N172" s="122" t="s">
        <v>40</v>
      </c>
      <c r="O172" s="122" t="s">
        <v>76</v>
      </c>
      <c r="P172" s="198" t="s">
        <v>47</v>
      </c>
      <c r="Q172" s="122" t="s">
        <v>41</v>
      </c>
      <c r="T172" s="123">
        <v>1</v>
      </c>
      <c r="U172" s="123">
        <v>1</v>
      </c>
      <c r="W172" s="123">
        <f t="shared" si="3"/>
        <v>2</v>
      </c>
      <c r="X172" s="124">
        <v>2</v>
      </c>
      <c r="Y172" s="125">
        <v>3</v>
      </c>
      <c r="AD172" s="128" t="s">
        <v>93</v>
      </c>
    </row>
    <row r="173" spans="1:30" ht="16.5">
      <c r="A173" s="47" t="s">
        <v>507</v>
      </c>
      <c r="B173" s="55" t="s">
        <v>508</v>
      </c>
      <c r="C173" s="49"/>
      <c r="D173" s="50">
        <v>31</v>
      </c>
      <c r="E173" s="51">
        <v>1</v>
      </c>
      <c r="F173" s="52" t="s">
        <v>62</v>
      </c>
      <c r="G173" s="179" t="s">
        <v>67</v>
      </c>
      <c r="I173" s="133"/>
      <c r="J173" s="121" t="s">
        <v>140</v>
      </c>
      <c r="K173" s="121" t="s">
        <v>47</v>
      </c>
      <c r="N173" s="122"/>
      <c r="O173" s="122" t="s">
        <v>140</v>
      </c>
      <c r="P173" s="198" t="s">
        <v>47</v>
      </c>
      <c r="Q173" s="122" t="s">
        <v>112</v>
      </c>
      <c r="V173" s="123">
        <v>1</v>
      </c>
      <c r="W173" s="123">
        <f t="shared" si="3"/>
        <v>1</v>
      </c>
      <c r="X173" s="124">
        <v>1</v>
      </c>
      <c r="Y173" s="125" t="s">
        <v>369</v>
      </c>
      <c r="Z173" s="126" t="s">
        <v>59</v>
      </c>
      <c r="AA173" s="127" t="s">
        <v>113</v>
      </c>
      <c r="AD173" s="128">
        <v>4</v>
      </c>
    </row>
    <row r="174" spans="1:30" ht="16.5">
      <c r="A174" s="47" t="s">
        <v>509</v>
      </c>
      <c r="B174" s="55" t="s">
        <v>510</v>
      </c>
      <c r="C174" s="49"/>
      <c r="D174" s="50">
        <v>31</v>
      </c>
      <c r="E174" s="51">
        <v>2</v>
      </c>
      <c r="F174" s="52" t="s">
        <v>62</v>
      </c>
      <c r="G174" s="179" t="s">
        <v>67</v>
      </c>
      <c r="I174" s="133"/>
      <c r="K174" s="121" t="s">
        <v>47</v>
      </c>
      <c r="N174" s="122"/>
      <c r="O174" s="122" t="s">
        <v>76</v>
      </c>
      <c r="P174" s="198" t="s">
        <v>47</v>
      </c>
      <c r="Q174" s="122" t="s">
        <v>41</v>
      </c>
      <c r="R174" s="123">
        <v>1</v>
      </c>
      <c r="W174" s="123">
        <f t="shared" si="3"/>
        <v>1</v>
      </c>
      <c r="X174" s="124">
        <v>5</v>
      </c>
      <c r="Y174" s="125">
        <v>3</v>
      </c>
      <c r="AD174" s="128" t="s">
        <v>72</v>
      </c>
    </row>
    <row r="175" spans="1:30" ht="16.5">
      <c r="A175" s="47" t="s">
        <v>511</v>
      </c>
      <c r="B175" s="55" t="s">
        <v>512</v>
      </c>
      <c r="C175" s="49"/>
      <c r="D175" s="50">
        <v>31</v>
      </c>
      <c r="E175" s="51">
        <v>3</v>
      </c>
      <c r="F175" s="52" t="s">
        <v>62</v>
      </c>
      <c r="G175" s="179" t="s">
        <v>67</v>
      </c>
      <c r="I175" s="133"/>
      <c r="K175" s="121" t="s">
        <v>47</v>
      </c>
      <c r="N175" s="122"/>
      <c r="O175" s="122" t="s">
        <v>76</v>
      </c>
      <c r="P175" s="198" t="s">
        <v>47</v>
      </c>
      <c r="Q175" s="122" t="s">
        <v>41</v>
      </c>
      <c r="W175" s="123">
        <f t="shared" si="3"/>
        <v>0</v>
      </c>
      <c r="X175" s="124">
        <v>3</v>
      </c>
      <c r="Y175" s="125">
        <v>3</v>
      </c>
      <c r="AD175" s="128">
        <v>4</v>
      </c>
    </row>
    <row r="176" spans="1:30" ht="16.5">
      <c r="A176" s="47" t="s">
        <v>513</v>
      </c>
      <c r="B176" s="55" t="s">
        <v>514</v>
      </c>
      <c r="C176" s="49"/>
      <c r="D176" s="50">
        <v>31</v>
      </c>
      <c r="E176" s="51">
        <v>4</v>
      </c>
      <c r="F176" s="52" t="s">
        <v>62</v>
      </c>
      <c r="G176" s="179" t="s">
        <v>37</v>
      </c>
      <c r="I176" s="133"/>
      <c r="M176" s="121" t="s">
        <v>39</v>
      </c>
      <c r="N176" s="122"/>
      <c r="O176" s="122"/>
      <c r="P176" s="198" t="s">
        <v>47</v>
      </c>
      <c r="Q176" s="122"/>
      <c r="R176" s="123">
        <v>1</v>
      </c>
      <c r="U176" s="123">
        <v>1</v>
      </c>
      <c r="W176" s="123">
        <f t="shared" si="3"/>
        <v>2</v>
      </c>
      <c r="X176" s="124">
        <v>3</v>
      </c>
      <c r="Y176" s="125">
        <v>3</v>
      </c>
      <c r="AD176" s="128" t="s">
        <v>102</v>
      </c>
    </row>
    <row r="177" spans="1:30" ht="16.5">
      <c r="A177" s="47" t="s">
        <v>515</v>
      </c>
      <c r="B177" s="55" t="s">
        <v>516</v>
      </c>
      <c r="C177" s="49"/>
      <c r="D177" s="50">
        <v>32</v>
      </c>
      <c r="E177" s="51">
        <v>1</v>
      </c>
      <c r="F177" s="52" t="s">
        <v>36</v>
      </c>
      <c r="G177" s="179" t="s">
        <v>172</v>
      </c>
      <c r="I177" s="133"/>
      <c r="K177" s="121" t="s">
        <v>38</v>
      </c>
      <c r="N177" s="122" t="s">
        <v>40</v>
      </c>
      <c r="O177" s="122"/>
      <c r="P177" s="198" t="s">
        <v>38</v>
      </c>
      <c r="Q177" s="122"/>
      <c r="U177" s="123">
        <v>1</v>
      </c>
      <c r="V177" s="123">
        <v>1</v>
      </c>
      <c r="W177" s="123">
        <f t="shared" si="3"/>
        <v>2</v>
      </c>
      <c r="X177" s="124">
        <v>5</v>
      </c>
      <c r="Y177" s="125">
        <v>2</v>
      </c>
      <c r="AD177" s="128" t="s">
        <v>157</v>
      </c>
    </row>
    <row r="178" spans="1:30" ht="16.5">
      <c r="A178" s="47" t="s">
        <v>517</v>
      </c>
      <c r="B178" s="55" t="s">
        <v>518</v>
      </c>
      <c r="C178" s="49"/>
      <c r="D178" s="50">
        <v>32</v>
      </c>
      <c r="E178" s="51">
        <v>3</v>
      </c>
      <c r="F178" s="52" t="s">
        <v>36</v>
      </c>
      <c r="G178" s="179" t="s">
        <v>192</v>
      </c>
      <c r="I178" s="133"/>
      <c r="K178" s="121" t="s">
        <v>47</v>
      </c>
      <c r="N178" s="122" t="s">
        <v>53</v>
      </c>
      <c r="O178" s="122"/>
      <c r="P178" s="198" t="s">
        <v>47</v>
      </c>
      <c r="Q178" s="122" t="s">
        <v>41</v>
      </c>
      <c r="U178" s="123">
        <v>1</v>
      </c>
      <c r="V178" s="123">
        <v>1</v>
      </c>
      <c r="W178" s="123">
        <f t="shared" si="3"/>
        <v>2</v>
      </c>
      <c r="X178" s="124">
        <v>2</v>
      </c>
      <c r="Y178" s="125">
        <v>3</v>
      </c>
      <c r="AD178" s="128" t="s">
        <v>141</v>
      </c>
    </row>
    <row r="179" spans="1:30" ht="16.5">
      <c r="A179" s="47" t="s">
        <v>519</v>
      </c>
      <c r="B179" s="55" t="s">
        <v>520</v>
      </c>
      <c r="C179" s="49"/>
      <c r="D179" s="50">
        <v>33</v>
      </c>
      <c r="E179" s="51">
        <v>1</v>
      </c>
      <c r="F179" s="52" t="s">
        <v>36</v>
      </c>
      <c r="G179" s="179" t="s">
        <v>192</v>
      </c>
      <c r="I179" s="133"/>
      <c r="M179" s="121" t="s">
        <v>39</v>
      </c>
      <c r="N179" s="122" t="s">
        <v>71</v>
      </c>
      <c r="O179" s="122"/>
      <c r="P179" s="198" t="s">
        <v>96</v>
      </c>
      <c r="Q179" s="122"/>
      <c r="R179" s="123">
        <v>1</v>
      </c>
      <c r="U179" s="123">
        <v>1</v>
      </c>
      <c r="V179" s="123">
        <v>1</v>
      </c>
      <c r="W179" s="123">
        <f t="shared" si="3"/>
        <v>3</v>
      </c>
      <c r="X179" s="124">
        <v>1</v>
      </c>
      <c r="Y179" s="125">
        <v>3</v>
      </c>
      <c r="AD179" s="128">
        <v>4</v>
      </c>
    </row>
    <row r="180" spans="1:30" ht="16.5">
      <c r="A180" s="47" t="s">
        <v>521</v>
      </c>
      <c r="B180" s="55" t="s">
        <v>522</v>
      </c>
      <c r="C180" s="49"/>
      <c r="D180" s="50">
        <v>34</v>
      </c>
      <c r="E180" s="51">
        <v>1</v>
      </c>
      <c r="F180" s="52" t="s">
        <v>36</v>
      </c>
      <c r="G180" s="179" t="s">
        <v>81</v>
      </c>
      <c r="I180" s="133"/>
      <c r="M180" s="121" t="s">
        <v>39</v>
      </c>
      <c r="N180" s="122"/>
      <c r="O180" s="122"/>
      <c r="P180" s="198" t="s">
        <v>47</v>
      </c>
      <c r="Q180" s="122"/>
      <c r="R180" s="123">
        <v>1</v>
      </c>
      <c r="U180" s="123">
        <v>1</v>
      </c>
      <c r="V180" s="123">
        <v>1</v>
      </c>
      <c r="W180" s="123">
        <f t="shared" si="3"/>
        <v>3</v>
      </c>
      <c r="X180" s="124">
        <v>4</v>
      </c>
      <c r="Y180" s="125">
        <v>3</v>
      </c>
      <c r="AD180" s="128" t="s">
        <v>523</v>
      </c>
    </row>
    <row r="181" spans="1:30" ht="16.5">
      <c r="A181" s="47" t="s">
        <v>524</v>
      </c>
      <c r="B181" s="55" t="s">
        <v>525</v>
      </c>
      <c r="C181" s="49"/>
      <c r="D181" s="50">
        <v>34</v>
      </c>
      <c r="E181" s="51">
        <v>3</v>
      </c>
      <c r="F181" s="52" t="s">
        <v>36</v>
      </c>
      <c r="G181" s="179" t="s">
        <v>85</v>
      </c>
      <c r="I181" s="133"/>
      <c r="K181" s="121" t="s">
        <v>47</v>
      </c>
      <c r="N181" s="122"/>
      <c r="O181" s="122" t="s">
        <v>76</v>
      </c>
      <c r="P181" s="198" t="s">
        <v>47</v>
      </c>
      <c r="Q181" s="122" t="s">
        <v>41</v>
      </c>
      <c r="R181" s="123">
        <v>1</v>
      </c>
      <c r="U181" s="123">
        <v>1</v>
      </c>
      <c r="V181" s="123">
        <v>1</v>
      </c>
      <c r="W181" s="123">
        <f t="shared" si="3"/>
        <v>3</v>
      </c>
      <c r="X181" s="124">
        <v>2</v>
      </c>
      <c r="Y181" s="125">
        <v>3</v>
      </c>
      <c r="AD181" s="128" t="s">
        <v>214</v>
      </c>
    </row>
    <row r="182" spans="1:30" ht="16.5">
      <c r="A182" s="47" t="s">
        <v>526</v>
      </c>
      <c r="B182" s="55" t="s">
        <v>527</v>
      </c>
      <c r="C182" s="49"/>
      <c r="D182" s="50">
        <v>34</v>
      </c>
      <c r="E182" s="51">
        <v>5</v>
      </c>
      <c r="F182" s="52" t="s">
        <v>36</v>
      </c>
      <c r="G182" s="179" t="s">
        <v>81</v>
      </c>
      <c r="I182" s="133"/>
      <c r="M182" s="121" t="s">
        <v>39</v>
      </c>
      <c r="N182" s="122"/>
      <c r="O182" s="122"/>
      <c r="P182" s="198" t="s">
        <v>47</v>
      </c>
      <c r="Q182" s="122" t="s">
        <v>41</v>
      </c>
      <c r="R182" s="123">
        <v>1</v>
      </c>
      <c r="U182" s="123">
        <v>1</v>
      </c>
      <c r="W182" s="123">
        <f t="shared" si="3"/>
        <v>2</v>
      </c>
      <c r="X182" s="124">
        <v>4</v>
      </c>
      <c r="Y182" s="125">
        <v>2</v>
      </c>
    </row>
    <row r="183" spans="1:30" ht="16.5">
      <c r="A183" s="47" t="s">
        <v>528</v>
      </c>
      <c r="B183" s="55" t="s">
        <v>529</v>
      </c>
      <c r="C183" s="49"/>
      <c r="D183" s="50">
        <v>34</v>
      </c>
      <c r="E183" s="51">
        <v>7</v>
      </c>
      <c r="F183" s="52" t="s">
        <v>36</v>
      </c>
      <c r="G183" s="179" t="s">
        <v>192</v>
      </c>
      <c r="I183" s="133"/>
      <c r="M183" s="121" t="s">
        <v>39</v>
      </c>
      <c r="N183" s="122"/>
      <c r="O183" s="122"/>
      <c r="P183" s="198" t="s">
        <v>47</v>
      </c>
      <c r="Q183" s="122" t="s">
        <v>41</v>
      </c>
      <c r="R183" s="123">
        <v>1</v>
      </c>
      <c r="U183" s="123">
        <v>1</v>
      </c>
      <c r="V183" s="123">
        <v>1</v>
      </c>
      <c r="W183" s="123">
        <f t="shared" si="3"/>
        <v>3</v>
      </c>
      <c r="X183" s="124">
        <v>2</v>
      </c>
      <c r="Y183" s="125">
        <v>2</v>
      </c>
      <c r="AD183" s="128" t="s">
        <v>530</v>
      </c>
    </row>
    <row r="184" spans="1:30" ht="16.5">
      <c r="A184" s="47" t="s">
        <v>531</v>
      </c>
      <c r="B184" s="55" t="s">
        <v>532</v>
      </c>
      <c r="C184" s="49"/>
      <c r="D184" s="50">
        <v>35</v>
      </c>
      <c r="E184" s="51">
        <v>1</v>
      </c>
      <c r="F184" s="52" t="s">
        <v>36</v>
      </c>
      <c r="G184" s="179" t="s">
        <v>46</v>
      </c>
      <c r="I184" s="133"/>
      <c r="K184" s="121" t="s">
        <v>47</v>
      </c>
      <c r="N184" s="122"/>
      <c r="O184" s="122"/>
      <c r="P184" s="198" t="s">
        <v>47</v>
      </c>
      <c r="Q184" s="122"/>
      <c r="R184" s="123">
        <v>1</v>
      </c>
      <c r="V184" s="123">
        <v>1</v>
      </c>
      <c r="W184" s="123">
        <f t="shared" si="3"/>
        <v>2</v>
      </c>
      <c r="X184" s="124">
        <v>4</v>
      </c>
      <c r="Y184" s="125">
        <v>1</v>
      </c>
    </row>
    <row r="185" spans="1:30" ht="16.5">
      <c r="A185" s="47" t="s">
        <v>533</v>
      </c>
      <c r="B185" s="55" t="s">
        <v>534</v>
      </c>
      <c r="C185" s="49"/>
      <c r="D185" s="50">
        <v>35</v>
      </c>
      <c r="E185" s="51">
        <v>3</v>
      </c>
      <c r="F185" s="52" t="s">
        <v>36</v>
      </c>
      <c r="G185" s="179" t="s">
        <v>67</v>
      </c>
      <c r="I185" s="133"/>
      <c r="K185" s="121" t="s">
        <v>47</v>
      </c>
      <c r="N185" s="122"/>
      <c r="O185" s="122"/>
      <c r="P185" s="198" t="s">
        <v>47</v>
      </c>
      <c r="Q185" s="122" t="s">
        <v>41</v>
      </c>
      <c r="R185" s="123">
        <v>1</v>
      </c>
      <c r="W185" s="123">
        <f t="shared" si="3"/>
        <v>1</v>
      </c>
      <c r="X185" s="124">
        <v>2</v>
      </c>
      <c r="Y185" s="125">
        <v>3</v>
      </c>
      <c r="AD185" s="128" t="s">
        <v>535</v>
      </c>
    </row>
    <row r="186" spans="1:30" ht="16.5">
      <c r="A186" s="47" t="s">
        <v>536</v>
      </c>
      <c r="B186" s="55" t="s">
        <v>537</v>
      </c>
      <c r="C186" s="49"/>
      <c r="D186" s="50">
        <v>35</v>
      </c>
      <c r="E186" s="51">
        <v>5</v>
      </c>
      <c r="F186" s="52" t="s">
        <v>36</v>
      </c>
      <c r="G186" s="179" t="s">
        <v>85</v>
      </c>
      <c r="I186" s="133"/>
      <c r="M186" s="121" t="s">
        <v>39</v>
      </c>
      <c r="N186" s="122"/>
      <c r="O186" s="122" t="s">
        <v>57</v>
      </c>
      <c r="P186" s="198" t="s">
        <v>47</v>
      </c>
      <c r="Q186" s="122" t="s">
        <v>41</v>
      </c>
      <c r="U186" s="123">
        <v>1</v>
      </c>
      <c r="W186" s="123">
        <f t="shared" si="3"/>
        <v>1</v>
      </c>
      <c r="X186" s="124">
        <v>2</v>
      </c>
      <c r="Y186" s="125">
        <v>2</v>
      </c>
      <c r="Z186" s="126" t="s">
        <v>458</v>
      </c>
      <c r="AD186" s="128" t="s">
        <v>137</v>
      </c>
    </row>
    <row r="187" spans="1:30" ht="16.5">
      <c r="A187" s="47" t="s">
        <v>538</v>
      </c>
      <c r="B187" s="55" t="s">
        <v>539</v>
      </c>
      <c r="C187" s="49"/>
      <c r="D187" s="50">
        <v>36</v>
      </c>
      <c r="E187" s="51">
        <v>1</v>
      </c>
      <c r="F187" s="52" t="s">
        <v>36</v>
      </c>
      <c r="G187" s="179" t="s">
        <v>540</v>
      </c>
      <c r="I187" s="133"/>
      <c r="K187" s="121" t="s">
        <v>38</v>
      </c>
      <c r="M187" s="121" t="s">
        <v>39</v>
      </c>
      <c r="N187" s="122"/>
      <c r="O187" s="122"/>
      <c r="P187" s="198" t="s">
        <v>38</v>
      </c>
      <c r="Q187" s="122"/>
      <c r="R187" s="123">
        <v>1</v>
      </c>
      <c r="U187" s="123">
        <v>1</v>
      </c>
      <c r="W187" s="123">
        <f t="shared" si="3"/>
        <v>2</v>
      </c>
      <c r="X187" s="124">
        <v>1</v>
      </c>
      <c r="Y187" s="125" t="s">
        <v>541</v>
      </c>
      <c r="AD187" s="128" t="s">
        <v>102</v>
      </c>
    </row>
    <row r="188" spans="1:30" ht="16.5">
      <c r="A188" s="47" t="s">
        <v>542</v>
      </c>
      <c r="B188" s="55" t="s">
        <v>543</v>
      </c>
      <c r="C188" s="49"/>
      <c r="D188" s="50">
        <v>36</v>
      </c>
      <c r="E188" s="51">
        <v>3</v>
      </c>
      <c r="F188" s="52" t="s">
        <v>36</v>
      </c>
      <c r="G188" s="179" t="s">
        <v>46</v>
      </c>
      <c r="I188" s="133"/>
      <c r="J188" s="121" t="s">
        <v>76</v>
      </c>
      <c r="L188" s="121" t="s">
        <v>41</v>
      </c>
      <c r="N188" s="122" t="s">
        <v>71</v>
      </c>
      <c r="O188" s="122" t="s">
        <v>76</v>
      </c>
      <c r="P188" s="198" t="s">
        <v>47</v>
      </c>
      <c r="Q188" s="122" t="s">
        <v>41</v>
      </c>
      <c r="R188" s="123">
        <v>1</v>
      </c>
      <c r="W188" s="123">
        <f t="shared" si="3"/>
        <v>1</v>
      </c>
      <c r="X188" s="124">
        <v>2</v>
      </c>
      <c r="Y188" s="125" t="s">
        <v>224</v>
      </c>
      <c r="AD188" s="128" t="s">
        <v>498</v>
      </c>
    </row>
    <row r="189" spans="1:30" ht="16.5">
      <c r="A189" s="47" t="s">
        <v>544</v>
      </c>
      <c r="B189" s="55" t="s">
        <v>545</v>
      </c>
      <c r="C189" s="49"/>
      <c r="D189" s="50">
        <v>36</v>
      </c>
      <c r="E189" s="51">
        <v>5</v>
      </c>
      <c r="F189" s="52" t="s">
        <v>36</v>
      </c>
      <c r="G189" s="179" t="s">
        <v>278</v>
      </c>
      <c r="I189" s="133"/>
      <c r="M189" s="121" t="s">
        <v>39</v>
      </c>
      <c r="N189" s="122" t="s">
        <v>71</v>
      </c>
      <c r="O189" s="122"/>
      <c r="P189" s="198" t="s">
        <v>38</v>
      </c>
      <c r="Q189" s="122" t="s">
        <v>41</v>
      </c>
      <c r="U189" s="123">
        <v>1</v>
      </c>
      <c r="W189" s="123">
        <f t="shared" si="3"/>
        <v>1</v>
      </c>
      <c r="X189" s="124">
        <v>3</v>
      </c>
      <c r="Y189" s="125">
        <v>1</v>
      </c>
      <c r="AD189" s="128" t="s">
        <v>546</v>
      </c>
    </row>
    <row r="190" spans="1:30" ht="16.5">
      <c r="A190" s="47" t="s">
        <v>547</v>
      </c>
      <c r="B190" s="55" t="s">
        <v>548</v>
      </c>
      <c r="C190" s="49"/>
      <c r="D190" s="50">
        <v>37</v>
      </c>
      <c r="E190" s="51">
        <v>1</v>
      </c>
      <c r="F190" s="52" t="s">
        <v>36</v>
      </c>
      <c r="G190" s="179" t="s">
        <v>278</v>
      </c>
      <c r="I190" s="133"/>
      <c r="J190" s="121" t="s">
        <v>76</v>
      </c>
      <c r="K190" s="121" t="s">
        <v>38</v>
      </c>
      <c r="M190" s="121" t="s">
        <v>39</v>
      </c>
      <c r="N190" s="122"/>
      <c r="O190" s="122" t="s">
        <v>76</v>
      </c>
      <c r="P190" s="198" t="s">
        <v>38</v>
      </c>
      <c r="Q190" s="122" t="s">
        <v>41</v>
      </c>
      <c r="U190" s="123">
        <v>1</v>
      </c>
      <c r="V190" s="123">
        <v>1</v>
      </c>
      <c r="W190" s="123">
        <f t="shared" si="3"/>
        <v>2</v>
      </c>
      <c r="X190" s="124">
        <v>2</v>
      </c>
      <c r="Y190" s="125" t="s">
        <v>549</v>
      </c>
      <c r="AD190" s="128" t="s">
        <v>154</v>
      </c>
    </row>
    <row r="191" spans="1:30" ht="16.5">
      <c r="A191" s="47" t="s">
        <v>550</v>
      </c>
      <c r="B191" s="55" t="s">
        <v>551</v>
      </c>
      <c r="C191" s="49"/>
      <c r="D191" s="50">
        <v>38</v>
      </c>
      <c r="E191" s="51">
        <v>1</v>
      </c>
      <c r="F191" s="52" t="s">
        <v>36</v>
      </c>
      <c r="G191" s="180" t="s">
        <v>540</v>
      </c>
      <c r="I191" s="133"/>
      <c r="K191" s="121" t="s">
        <v>38</v>
      </c>
      <c r="N191" s="122"/>
      <c r="O191" s="122" t="s">
        <v>76</v>
      </c>
      <c r="P191" s="198" t="s">
        <v>38</v>
      </c>
      <c r="Q191" s="122"/>
      <c r="R191" s="123">
        <v>1</v>
      </c>
      <c r="T191" s="123">
        <v>1</v>
      </c>
      <c r="U191" s="123">
        <v>1</v>
      </c>
      <c r="V191" s="123">
        <v>1</v>
      </c>
      <c r="W191" s="123">
        <f t="shared" si="3"/>
        <v>4</v>
      </c>
      <c r="X191" s="124">
        <v>2</v>
      </c>
      <c r="Y191" s="125">
        <v>2</v>
      </c>
      <c r="AD191" s="128" t="s">
        <v>93</v>
      </c>
    </row>
    <row r="192" spans="1:30" ht="16.5">
      <c r="A192" s="47" t="s">
        <v>552</v>
      </c>
      <c r="B192" s="55" t="s">
        <v>553</v>
      </c>
      <c r="C192" s="49"/>
      <c r="D192" s="50">
        <v>39</v>
      </c>
      <c r="E192" s="51">
        <v>1</v>
      </c>
      <c r="F192" s="52" t="s">
        <v>36</v>
      </c>
      <c r="G192" s="179" t="s">
        <v>172</v>
      </c>
      <c r="I192" s="133"/>
      <c r="N192" s="122" t="s">
        <v>71</v>
      </c>
      <c r="O192" s="122" t="s">
        <v>76</v>
      </c>
      <c r="P192" s="198"/>
      <c r="Q192" s="122" t="s">
        <v>112</v>
      </c>
      <c r="R192" s="123">
        <v>1</v>
      </c>
      <c r="S192" s="123">
        <v>1</v>
      </c>
      <c r="U192" s="123">
        <v>1</v>
      </c>
      <c r="W192" s="123">
        <f t="shared" si="3"/>
        <v>3</v>
      </c>
      <c r="X192" s="124">
        <v>2</v>
      </c>
      <c r="Y192" s="125"/>
      <c r="AA192" s="127" t="s">
        <v>113</v>
      </c>
      <c r="AD192" s="128" t="s">
        <v>181</v>
      </c>
    </row>
    <row r="193" spans="1:30" ht="16.5">
      <c r="A193" s="47" t="s">
        <v>554</v>
      </c>
      <c r="B193" s="55" t="s">
        <v>555</v>
      </c>
      <c r="C193" s="49"/>
      <c r="D193" s="50">
        <v>40</v>
      </c>
      <c r="E193" s="51">
        <v>1</v>
      </c>
      <c r="F193" s="52" t="s">
        <v>62</v>
      </c>
      <c r="G193" s="179" t="s">
        <v>540</v>
      </c>
      <c r="I193" s="133"/>
      <c r="K193" s="121" t="s">
        <v>38</v>
      </c>
      <c r="N193" s="122"/>
      <c r="O193" s="122" t="s">
        <v>76</v>
      </c>
      <c r="P193" s="198" t="s">
        <v>38</v>
      </c>
      <c r="Q193" s="122"/>
      <c r="R193" s="123">
        <v>1</v>
      </c>
      <c r="T193" s="123">
        <v>1</v>
      </c>
      <c r="U193" s="123">
        <v>1</v>
      </c>
      <c r="V193" s="123">
        <v>1</v>
      </c>
      <c r="W193" s="123">
        <f t="shared" si="3"/>
        <v>4</v>
      </c>
      <c r="X193" s="124">
        <v>2</v>
      </c>
      <c r="Y193" s="125">
        <v>2</v>
      </c>
      <c r="AD193" s="128" t="s">
        <v>93</v>
      </c>
    </row>
    <row r="194" spans="1:30" ht="16.5">
      <c r="A194" s="47" t="s">
        <v>556</v>
      </c>
      <c r="B194" s="55" t="s">
        <v>557</v>
      </c>
      <c r="C194" s="49"/>
      <c r="D194" s="50">
        <v>40</v>
      </c>
      <c r="E194" s="51">
        <v>2</v>
      </c>
      <c r="F194" s="52" t="s">
        <v>62</v>
      </c>
      <c r="G194" s="179" t="s">
        <v>81</v>
      </c>
      <c r="I194" s="133"/>
      <c r="K194" s="121" t="s">
        <v>47</v>
      </c>
      <c r="N194" s="122"/>
      <c r="O194" s="122" t="s">
        <v>140</v>
      </c>
      <c r="P194" s="198" t="s">
        <v>47</v>
      </c>
      <c r="Q194" s="122" t="s">
        <v>41</v>
      </c>
      <c r="R194" s="123">
        <v>1</v>
      </c>
      <c r="U194" s="123">
        <v>1</v>
      </c>
      <c r="W194" s="123">
        <f t="shared" si="3"/>
        <v>2</v>
      </c>
      <c r="X194" s="124">
        <v>2</v>
      </c>
      <c r="Y194" s="125">
        <v>3</v>
      </c>
      <c r="Z194" s="126" t="s">
        <v>59</v>
      </c>
      <c r="AD194" s="128" t="s">
        <v>181</v>
      </c>
    </row>
    <row r="195" spans="1:30" ht="16.5">
      <c r="A195" s="47" t="s">
        <v>558</v>
      </c>
      <c r="B195" s="55" t="s">
        <v>559</v>
      </c>
      <c r="C195" s="49"/>
      <c r="D195" s="50">
        <v>41</v>
      </c>
      <c r="E195" s="51">
        <v>1</v>
      </c>
      <c r="F195" s="52" t="s">
        <v>62</v>
      </c>
      <c r="G195" s="179" t="s">
        <v>67</v>
      </c>
      <c r="I195" s="133"/>
      <c r="L195" s="121" t="s">
        <v>41</v>
      </c>
      <c r="N195" s="122"/>
      <c r="O195" s="122"/>
      <c r="P195" s="198" t="s">
        <v>47</v>
      </c>
      <c r="Q195" s="122" t="s">
        <v>41</v>
      </c>
      <c r="R195" s="123">
        <v>1</v>
      </c>
      <c r="U195" s="123">
        <v>1</v>
      </c>
      <c r="W195" s="123">
        <f t="shared" si="3"/>
        <v>2</v>
      </c>
      <c r="X195" s="124">
        <v>3</v>
      </c>
      <c r="Y195" s="125">
        <v>2</v>
      </c>
      <c r="AD195" s="128">
        <v>2</v>
      </c>
    </row>
    <row r="196" spans="1:30" ht="16.5">
      <c r="A196" s="47" t="s">
        <v>560</v>
      </c>
      <c r="B196" s="55" t="s">
        <v>561</v>
      </c>
      <c r="C196" s="49"/>
      <c r="D196" s="50">
        <v>41</v>
      </c>
      <c r="E196" s="51">
        <v>2</v>
      </c>
      <c r="F196" s="52" t="s">
        <v>62</v>
      </c>
      <c r="G196" s="179" t="s">
        <v>81</v>
      </c>
      <c r="I196" s="133"/>
      <c r="M196" s="121" t="s">
        <v>39</v>
      </c>
      <c r="N196" s="122"/>
      <c r="O196" s="122" t="s">
        <v>57</v>
      </c>
      <c r="P196" s="198" t="s">
        <v>47</v>
      </c>
      <c r="Q196" s="122" t="s">
        <v>41</v>
      </c>
      <c r="U196" s="123">
        <v>1</v>
      </c>
      <c r="V196" s="123">
        <v>1</v>
      </c>
      <c r="W196" s="123">
        <f t="shared" si="3"/>
        <v>2</v>
      </c>
      <c r="X196" s="124">
        <v>1</v>
      </c>
      <c r="Y196" s="125">
        <v>2</v>
      </c>
      <c r="Z196" s="126" t="s">
        <v>59</v>
      </c>
    </row>
    <row r="197" spans="1:30" ht="16.5">
      <c r="A197" s="47" t="s">
        <v>562</v>
      </c>
      <c r="B197" s="55" t="s">
        <v>563</v>
      </c>
      <c r="C197" s="49"/>
      <c r="D197" s="50">
        <v>42</v>
      </c>
      <c r="E197" s="51">
        <v>1</v>
      </c>
      <c r="F197" s="52" t="s">
        <v>62</v>
      </c>
      <c r="G197" s="181" t="s">
        <v>327</v>
      </c>
      <c r="I197" s="133"/>
      <c r="N197" s="122"/>
      <c r="O197" s="122"/>
      <c r="P197" s="198" t="s">
        <v>38</v>
      </c>
      <c r="Q197" s="122" t="s">
        <v>112</v>
      </c>
      <c r="R197" s="123">
        <v>1</v>
      </c>
      <c r="S197" s="123">
        <v>1</v>
      </c>
      <c r="V197" s="123">
        <v>1</v>
      </c>
      <c r="W197" s="123">
        <f t="shared" si="3"/>
        <v>3</v>
      </c>
      <c r="X197" s="124">
        <v>1</v>
      </c>
      <c r="Y197" s="125"/>
      <c r="AA197" s="127" t="s">
        <v>113</v>
      </c>
      <c r="AD197" s="128" t="s">
        <v>564</v>
      </c>
    </row>
    <row r="198" spans="1:30" ht="16.5">
      <c r="A198" s="47" t="s">
        <v>565</v>
      </c>
      <c r="B198" s="55" t="s">
        <v>566</v>
      </c>
      <c r="C198" s="49"/>
      <c r="D198" s="50">
        <v>42</v>
      </c>
      <c r="E198" s="51">
        <v>2</v>
      </c>
      <c r="F198" s="52" t="s">
        <v>62</v>
      </c>
      <c r="G198" s="179" t="s">
        <v>567</v>
      </c>
      <c r="I198" s="133"/>
      <c r="M198" s="121" t="s">
        <v>39</v>
      </c>
      <c r="N198" s="122"/>
      <c r="O198" s="122" t="s">
        <v>76</v>
      </c>
      <c r="P198" s="198" t="s">
        <v>38</v>
      </c>
      <c r="Q198" s="122"/>
      <c r="U198" s="123">
        <v>1</v>
      </c>
      <c r="W198" s="123">
        <f t="shared" si="3"/>
        <v>1</v>
      </c>
      <c r="X198" s="124">
        <v>2</v>
      </c>
      <c r="Y198" s="125">
        <v>3</v>
      </c>
      <c r="AD198" s="128" t="s">
        <v>250</v>
      </c>
    </row>
    <row r="199" spans="1:30" ht="16.5">
      <c r="A199" s="47" t="s">
        <v>568</v>
      </c>
      <c r="B199" s="55" t="s">
        <v>569</v>
      </c>
      <c r="C199" s="49" t="s">
        <v>570</v>
      </c>
      <c r="D199" s="50">
        <v>43</v>
      </c>
      <c r="E199" s="51">
        <v>1</v>
      </c>
      <c r="F199" s="52" t="s">
        <v>62</v>
      </c>
      <c r="G199" s="179" t="s">
        <v>81</v>
      </c>
      <c r="H199" s="53" t="s">
        <v>571</v>
      </c>
      <c r="I199" s="133" t="s">
        <v>40</v>
      </c>
      <c r="J199" s="121" t="s">
        <v>76</v>
      </c>
      <c r="N199" s="122" t="s">
        <v>40</v>
      </c>
      <c r="O199" s="122" t="s">
        <v>76</v>
      </c>
      <c r="P199" s="198" t="s">
        <v>47</v>
      </c>
      <c r="Q199" s="122" t="s">
        <v>41</v>
      </c>
      <c r="U199" s="123">
        <v>1</v>
      </c>
      <c r="V199" s="123">
        <v>1</v>
      </c>
      <c r="W199" s="123">
        <f t="shared" ref="W199:W262" si="4">SUM(R199:V199)</f>
        <v>2</v>
      </c>
      <c r="X199" s="124">
        <v>2</v>
      </c>
      <c r="Y199" s="125">
        <v>1</v>
      </c>
      <c r="AD199" s="128" t="s">
        <v>128</v>
      </c>
    </row>
    <row r="200" spans="1:30" ht="16.5">
      <c r="A200" s="47" t="s">
        <v>572</v>
      </c>
      <c r="B200" s="55" t="s">
        <v>573</v>
      </c>
      <c r="C200" s="49"/>
      <c r="D200" s="50">
        <v>43</v>
      </c>
      <c r="E200" s="51">
        <v>2</v>
      </c>
      <c r="F200" s="52" t="s">
        <v>62</v>
      </c>
      <c r="G200" s="179" t="s">
        <v>81</v>
      </c>
      <c r="I200" s="133"/>
      <c r="L200" s="121" t="s">
        <v>41</v>
      </c>
      <c r="N200" s="122"/>
      <c r="O200" s="122" t="s">
        <v>76</v>
      </c>
      <c r="P200" s="198" t="s">
        <v>47</v>
      </c>
      <c r="Q200" s="122" t="s">
        <v>41</v>
      </c>
      <c r="U200" s="123">
        <v>1</v>
      </c>
      <c r="V200" s="123">
        <v>1</v>
      </c>
      <c r="W200" s="123">
        <f t="shared" si="4"/>
        <v>2</v>
      </c>
      <c r="X200" s="124">
        <v>2</v>
      </c>
      <c r="Y200" s="125">
        <v>1</v>
      </c>
      <c r="AD200" s="128" t="s">
        <v>82</v>
      </c>
    </row>
    <row r="201" spans="1:30" ht="16.5">
      <c r="A201" s="47" t="s">
        <v>574</v>
      </c>
      <c r="B201" s="55" t="s">
        <v>575</v>
      </c>
      <c r="C201" s="49"/>
      <c r="D201" s="50">
        <v>44</v>
      </c>
      <c r="E201" s="51">
        <v>1</v>
      </c>
      <c r="F201" s="52" t="s">
        <v>62</v>
      </c>
      <c r="G201" s="179" t="s">
        <v>81</v>
      </c>
      <c r="I201" s="133"/>
      <c r="K201" s="121" t="s">
        <v>47</v>
      </c>
      <c r="M201" s="121" t="s">
        <v>39</v>
      </c>
      <c r="N201" s="122" t="s">
        <v>40</v>
      </c>
      <c r="O201" s="122" t="s">
        <v>76</v>
      </c>
      <c r="P201" s="198" t="s">
        <v>47</v>
      </c>
      <c r="Q201" s="122"/>
      <c r="U201" s="123">
        <v>1</v>
      </c>
      <c r="V201" s="123">
        <v>1</v>
      </c>
      <c r="W201" s="123">
        <f t="shared" si="4"/>
        <v>2</v>
      </c>
      <c r="X201" s="124">
        <v>2</v>
      </c>
      <c r="Y201" s="125" t="s">
        <v>88</v>
      </c>
      <c r="AD201" s="128" t="s">
        <v>275</v>
      </c>
    </row>
    <row r="202" spans="1:30" ht="16.5">
      <c r="A202" s="47" t="s">
        <v>576</v>
      </c>
      <c r="B202" s="55" t="s">
        <v>577</v>
      </c>
      <c r="C202" s="49"/>
      <c r="D202" s="50">
        <v>44</v>
      </c>
      <c r="E202" s="51">
        <v>2</v>
      </c>
      <c r="F202" s="52" t="s">
        <v>62</v>
      </c>
      <c r="G202" s="179" t="s">
        <v>81</v>
      </c>
      <c r="I202" s="133"/>
      <c r="K202" s="121" t="s">
        <v>47</v>
      </c>
      <c r="N202" s="122" t="s">
        <v>40</v>
      </c>
      <c r="O202" s="122" t="s">
        <v>76</v>
      </c>
      <c r="P202" s="198" t="s">
        <v>47</v>
      </c>
      <c r="Q202" s="122" t="s">
        <v>41</v>
      </c>
      <c r="U202" s="123">
        <v>1</v>
      </c>
      <c r="V202" s="123">
        <v>1</v>
      </c>
      <c r="W202" s="123">
        <f t="shared" si="4"/>
        <v>2</v>
      </c>
      <c r="X202" s="124">
        <v>2</v>
      </c>
      <c r="Y202" s="125">
        <v>3</v>
      </c>
      <c r="AD202" s="128" t="s">
        <v>114</v>
      </c>
    </row>
    <row r="203" spans="1:30" ht="16.5">
      <c r="A203" s="47" t="s">
        <v>578</v>
      </c>
      <c r="B203" s="55" t="s">
        <v>579</v>
      </c>
      <c r="C203" s="49"/>
      <c r="D203" s="50">
        <v>45</v>
      </c>
      <c r="E203" s="51">
        <v>1</v>
      </c>
      <c r="F203" s="52" t="s">
        <v>62</v>
      </c>
      <c r="G203" s="179" t="s">
        <v>172</v>
      </c>
      <c r="I203" s="133"/>
      <c r="K203" s="121" t="s">
        <v>38</v>
      </c>
      <c r="N203" s="122"/>
      <c r="O203" s="122" t="s">
        <v>140</v>
      </c>
      <c r="P203" s="198" t="s">
        <v>38</v>
      </c>
      <c r="Q203" s="122"/>
      <c r="R203" s="123">
        <v>1</v>
      </c>
      <c r="U203" s="123">
        <v>1</v>
      </c>
      <c r="W203" s="123">
        <f t="shared" si="4"/>
        <v>2</v>
      </c>
      <c r="X203" s="124">
        <v>2</v>
      </c>
      <c r="Y203" s="125">
        <v>1</v>
      </c>
      <c r="Z203" s="126" t="s">
        <v>59</v>
      </c>
      <c r="AD203" s="128" t="s">
        <v>253</v>
      </c>
    </row>
    <row r="204" spans="1:30" ht="16.5">
      <c r="A204" s="47" t="s">
        <v>580</v>
      </c>
      <c r="B204" s="55" t="s">
        <v>581</v>
      </c>
      <c r="C204" s="49"/>
      <c r="D204" s="50">
        <v>45</v>
      </c>
      <c r="E204" s="51">
        <v>2</v>
      </c>
      <c r="F204" s="52" t="s">
        <v>62</v>
      </c>
      <c r="G204" s="179" t="s">
        <v>81</v>
      </c>
      <c r="I204" s="133"/>
      <c r="K204" s="121" t="s">
        <v>47</v>
      </c>
      <c r="N204" s="122" t="s">
        <v>71</v>
      </c>
      <c r="O204" s="122" t="s">
        <v>76</v>
      </c>
      <c r="P204" s="198" t="s">
        <v>47</v>
      </c>
      <c r="Q204" s="122"/>
      <c r="R204" s="123">
        <v>1</v>
      </c>
      <c r="S204" s="123">
        <v>1</v>
      </c>
      <c r="T204" s="123">
        <v>1</v>
      </c>
      <c r="U204" s="123">
        <v>1</v>
      </c>
      <c r="V204" s="123">
        <v>1</v>
      </c>
      <c r="W204" s="123">
        <f t="shared" si="4"/>
        <v>5</v>
      </c>
      <c r="X204" s="124">
        <v>2</v>
      </c>
      <c r="Y204" s="125">
        <v>3</v>
      </c>
      <c r="AD204" s="128" t="s">
        <v>157</v>
      </c>
    </row>
    <row r="205" spans="1:30" ht="16.5">
      <c r="A205" s="47" t="s">
        <v>582</v>
      </c>
      <c r="B205" s="55" t="s">
        <v>583</v>
      </c>
      <c r="C205" s="49"/>
      <c r="D205" s="50">
        <v>46</v>
      </c>
      <c r="E205" s="51">
        <v>1</v>
      </c>
      <c r="F205" s="52" t="s">
        <v>62</v>
      </c>
      <c r="G205" s="179" t="s">
        <v>67</v>
      </c>
      <c r="I205" s="133"/>
      <c r="K205" s="121" t="s">
        <v>47</v>
      </c>
      <c r="N205" s="122"/>
      <c r="O205" s="122" t="s">
        <v>140</v>
      </c>
      <c r="P205" s="198" t="s">
        <v>47</v>
      </c>
      <c r="Q205" s="122" t="s">
        <v>41</v>
      </c>
      <c r="R205" s="123">
        <v>1</v>
      </c>
      <c r="V205" s="123">
        <v>1</v>
      </c>
      <c r="W205" s="123">
        <f t="shared" si="4"/>
        <v>2</v>
      </c>
      <c r="X205" s="124">
        <v>2</v>
      </c>
      <c r="Y205" s="125">
        <v>3</v>
      </c>
      <c r="Z205" s="126" t="s">
        <v>59</v>
      </c>
      <c r="AD205" s="128" t="s">
        <v>584</v>
      </c>
    </row>
    <row r="206" spans="1:30" ht="16.5">
      <c r="A206" s="47" t="s">
        <v>585</v>
      </c>
      <c r="B206" s="55" t="s">
        <v>586</v>
      </c>
      <c r="C206" s="49"/>
      <c r="D206" s="50">
        <v>46</v>
      </c>
      <c r="E206" s="51">
        <v>2</v>
      </c>
      <c r="F206" s="52" t="s">
        <v>62</v>
      </c>
      <c r="G206" s="179" t="s">
        <v>192</v>
      </c>
      <c r="I206" s="133"/>
      <c r="K206" s="121" t="s">
        <v>47</v>
      </c>
      <c r="N206" s="122" t="s">
        <v>53</v>
      </c>
      <c r="O206" s="122" t="s">
        <v>76</v>
      </c>
      <c r="P206" s="198" t="s">
        <v>96</v>
      </c>
      <c r="Q206" s="122" t="s">
        <v>41</v>
      </c>
      <c r="T206" s="123">
        <v>1</v>
      </c>
      <c r="U206" s="123">
        <v>1</v>
      </c>
      <c r="V206" s="123">
        <v>1</v>
      </c>
      <c r="W206" s="123">
        <f t="shared" si="4"/>
        <v>3</v>
      </c>
      <c r="X206" s="124">
        <v>2</v>
      </c>
      <c r="Y206" s="125">
        <v>3</v>
      </c>
      <c r="AD206" s="128" t="s">
        <v>275</v>
      </c>
    </row>
    <row r="207" spans="1:30" ht="16.5">
      <c r="A207" s="47" t="s">
        <v>587</v>
      </c>
      <c r="B207" s="55" t="s">
        <v>588</v>
      </c>
      <c r="C207" s="49"/>
      <c r="D207" s="50">
        <v>47</v>
      </c>
      <c r="E207" s="51">
        <v>1</v>
      </c>
      <c r="F207" s="52" t="s">
        <v>62</v>
      </c>
      <c r="G207" s="179" t="s">
        <v>67</v>
      </c>
      <c r="I207" s="133"/>
      <c r="K207" s="121" t="s">
        <v>47</v>
      </c>
      <c r="N207" s="122" t="s">
        <v>40</v>
      </c>
      <c r="O207" s="122"/>
      <c r="P207" s="198" t="s">
        <v>47</v>
      </c>
      <c r="Q207" s="122" t="s">
        <v>41</v>
      </c>
      <c r="U207" s="123">
        <v>1</v>
      </c>
      <c r="V207" s="123">
        <v>1</v>
      </c>
      <c r="W207" s="123">
        <f t="shared" si="4"/>
        <v>2</v>
      </c>
      <c r="X207" s="124">
        <v>5</v>
      </c>
      <c r="Y207" s="125">
        <v>3</v>
      </c>
      <c r="AD207" s="128" t="s">
        <v>93</v>
      </c>
    </row>
    <row r="208" spans="1:30" ht="16.5">
      <c r="A208" s="47" t="s">
        <v>589</v>
      </c>
      <c r="B208" s="55" t="s">
        <v>590</v>
      </c>
      <c r="C208" s="49"/>
      <c r="D208" s="50">
        <v>47</v>
      </c>
      <c r="E208" s="51">
        <v>2</v>
      </c>
      <c r="F208" s="52" t="s">
        <v>62</v>
      </c>
      <c r="G208" s="179" t="s">
        <v>37</v>
      </c>
      <c r="I208" s="133"/>
      <c r="K208" s="142" t="s">
        <v>47</v>
      </c>
      <c r="N208" s="122" t="s">
        <v>40</v>
      </c>
      <c r="O208" s="122" t="s">
        <v>76</v>
      </c>
      <c r="P208" s="198" t="s">
        <v>47</v>
      </c>
      <c r="Q208" s="122"/>
      <c r="U208" s="123">
        <v>1</v>
      </c>
      <c r="W208" s="123">
        <f t="shared" si="4"/>
        <v>1</v>
      </c>
      <c r="X208" s="124">
        <v>3</v>
      </c>
      <c r="Y208" s="125">
        <v>2</v>
      </c>
      <c r="AD208" s="128" t="s">
        <v>422</v>
      </c>
    </row>
    <row r="209" spans="1:30">
      <c r="A209" s="47" t="s">
        <v>591</v>
      </c>
      <c r="B209" s="55" t="s">
        <v>592</v>
      </c>
      <c r="C209" s="49"/>
      <c r="D209" s="50">
        <v>48</v>
      </c>
      <c r="E209" s="51">
        <v>1</v>
      </c>
      <c r="F209" s="52" t="s">
        <v>593</v>
      </c>
      <c r="G209" s="177" t="s">
        <v>594</v>
      </c>
      <c r="I209" s="133"/>
      <c r="N209" s="122" t="s">
        <v>40</v>
      </c>
      <c r="O209" s="122"/>
      <c r="P209" s="198"/>
      <c r="Q209" s="122"/>
      <c r="W209" s="123">
        <f t="shared" si="4"/>
        <v>0</v>
      </c>
      <c r="X209" s="124"/>
      <c r="Y209" s="125"/>
      <c r="AD209" s="128" t="s">
        <v>595</v>
      </c>
    </row>
    <row r="210" spans="1:30" ht="16.5">
      <c r="A210" s="47" t="s">
        <v>596</v>
      </c>
      <c r="B210" s="55" t="s">
        <v>597</v>
      </c>
      <c r="C210" s="49"/>
      <c r="D210" s="56">
        <v>49</v>
      </c>
      <c r="E210" s="51">
        <v>1</v>
      </c>
      <c r="F210" s="52" t="s">
        <v>62</v>
      </c>
      <c r="G210" s="179" t="s">
        <v>81</v>
      </c>
      <c r="I210" s="133"/>
      <c r="J210" s="121" t="s">
        <v>76</v>
      </c>
      <c r="K210" s="121" t="s">
        <v>47</v>
      </c>
      <c r="N210" s="122" t="s">
        <v>40</v>
      </c>
      <c r="O210" s="122" t="s">
        <v>76</v>
      </c>
      <c r="P210" s="198" t="s">
        <v>47</v>
      </c>
      <c r="Q210" s="122"/>
      <c r="T210" s="123">
        <v>1</v>
      </c>
      <c r="U210" s="123">
        <v>1</v>
      </c>
      <c r="V210" s="123">
        <v>1</v>
      </c>
      <c r="W210" s="123">
        <f t="shared" si="4"/>
        <v>3</v>
      </c>
      <c r="X210" s="124">
        <v>2</v>
      </c>
      <c r="Y210" s="125" t="s">
        <v>598</v>
      </c>
      <c r="AD210" s="128" t="s">
        <v>151</v>
      </c>
    </row>
    <row r="211" spans="1:30" ht="16.5">
      <c r="A211" s="47" t="s">
        <v>599</v>
      </c>
      <c r="B211" s="55" t="s">
        <v>600</v>
      </c>
      <c r="C211" s="49"/>
      <c r="D211" s="50">
        <v>49</v>
      </c>
      <c r="E211" s="51">
        <v>2</v>
      </c>
      <c r="F211" s="52" t="s">
        <v>62</v>
      </c>
      <c r="G211" s="179" t="s">
        <v>192</v>
      </c>
      <c r="I211" s="133"/>
      <c r="K211" s="121" t="s">
        <v>47</v>
      </c>
      <c r="N211" s="122"/>
      <c r="O211" s="122" t="s">
        <v>76</v>
      </c>
      <c r="P211" s="198" t="s">
        <v>47</v>
      </c>
      <c r="Q211" s="122"/>
      <c r="U211" s="123">
        <v>1</v>
      </c>
      <c r="W211" s="123">
        <f t="shared" si="4"/>
        <v>1</v>
      </c>
      <c r="X211" s="124">
        <v>2</v>
      </c>
      <c r="Y211" s="125">
        <v>5</v>
      </c>
      <c r="AD211" s="128" t="s">
        <v>601</v>
      </c>
    </row>
    <row r="212" spans="1:30" ht="16.5">
      <c r="A212" s="47" t="s">
        <v>602</v>
      </c>
      <c r="B212" s="55" t="s">
        <v>603</v>
      </c>
      <c r="C212" s="49"/>
      <c r="D212" s="50">
        <v>50</v>
      </c>
      <c r="E212" s="51">
        <v>1</v>
      </c>
      <c r="F212" s="52" t="s">
        <v>36</v>
      </c>
      <c r="G212" s="179" t="s">
        <v>291</v>
      </c>
      <c r="I212" s="133"/>
      <c r="K212" s="121" t="s">
        <v>47</v>
      </c>
      <c r="N212" s="122"/>
      <c r="O212" s="122" t="s">
        <v>140</v>
      </c>
      <c r="P212" s="198" t="s">
        <v>47</v>
      </c>
      <c r="Q212" s="122" t="s">
        <v>41</v>
      </c>
      <c r="R212" s="123">
        <v>1</v>
      </c>
      <c r="V212" s="123">
        <v>1</v>
      </c>
      <c r="W212" s="123">
        <f t="shared" si="4"/>
        <v>2</v>
      </c>
      <c r="X212" s="124">
        <v>1</v>
      </c>
      <c r="Y212" s="125">
        <v>3</v>
      </c>
      <c r="Z212" s="126" t="s">
        <v>59</v>
      </c>
    </row>
    <row r="213" spans="1:30" ht="16.5">
      <c r="A213" s="47" t="s">
        <v>604</v>
      </c>
      <c r="B213" s="55" t="s">
        <v>605</v>
      </c>
      <c r="C213" s="49"/>
      <c r="D213" s="50">
        <v>51</v>
      </c>
      <c r="E213" s="51">
        <v>1</v>
      </c>
      <c r="F213" s="52" t="s">
        <v>62</v>
      </c>
      <c r="G213" s="179" t="s">
        <v>172</v>
      </c>
      <c r="I213" s="133"/>
      <c r="K213" s="121" t="s">
        <v>38</v>
      </c>
      <c r="N213" s="122"/>
      <c r="O213" s="122" t="s">
        <v>140</v>
      </c>
      <c r="P213" s="198" t="s">
        <v>38</v>
      </c>
      <c r="Q213" s="122"/>
      <c r="R213" s="123">
        <v>1</v>
      </c>
      <c r="T213" s="123">
        <v>1</v>
      </c>
      <c r="U213" s="123">
        <v>1</v>
      </c>
      <c r="V213" s="123">
        <v>1</v>
      </c>
      <c r="W213" s="123">
        <f t="shared" si="4"/>
        <v>4</v>
      </c>
      <c r="X213" s="124">
        <v>2</v>
      </c>
      <c r="Y213" s="125">
        <v>2</v>
      </c>
      <c r="Z213" s="126" t="s">
        <v>59</v>
      </c>
      <c r="AD213" s="128" t="s">
        <v>128</v>
      </c>
    </row>
    <row r="214" spans="1:30" ht="16.5">
      <c r="A214" s="47" t="s">
        <v>606</v>
      </c>
      <c r="B214" s="55" t="s">
        <v>607</v>
      </c>
      <c r="C214" s="49"/>
      <c r="D214" s="50">
        <v>52</v>
      </c>
      <c r="E214" s="51">
        <v>1</v>
      </c>
      <c r="F214" s="52" t="s">
        <v>62</v>
      </c>
      <c r="G214" s="179" t="s">
        <v>133</v>
      </c>
      <c r="I214" s="133" t="s">
        <v>40</v>
      </c>
      <c r="K214" s="121" t="s">
        <v>38</v>
      </c>
      <c r="N214" s="122" t="s">
        <v>40</v>
      </c>
      <c r="O214" s="122" t="s">
        <v>76</v>
      </c>
      <c r="P214" s="198" t="s">
        <v>38</v>
      </c>
      <c r="Q214" s="122"/>
      <c r="T214" s="123">
        <v>1</v>
      </c>
      <c r="U214" s="123">
        <v>1</v>
      </c>
      <c r="W214" s="123">
        <f t="shared" si="4"/>
        <v>2</v>
      </c>
      <c r="X214" s="124">
        <v>3</v>
      </c>
      <c r="Y214" s="125">
        <v>3</v>
      </c>
      <c r="AD214" s="128" t="s">
        <v>608</v>
      </c>
    </row>
    <row r="215" spans="1:30" ht="16.5">
      <c r="A215" s="47" t="s">
        <v>609</v>
      </c>
      <c r="B215" s="55" t="s">
        <v>610</v>
      </c>
      <c r="C215" s="49"/>
      <c r="D215" s="50">
        <v>52</v>
      </c>
      <c r="E215" s="51">
        <v>2</v>
      </c>
      <c r="F215" s="52" t="s">
        <v>62</v>
      </c>
      <c r="G215" s="179" t="s">
        <v>133</v>
      </c>
      <c r="I215" s="133"/>
      <c r="K215" s="121" t="s">
        <v>38</v>
      </c>
      <c r="N215" s="122" t="s">
        <v>40</v>
      </c>
      <c r="O215" s="122"/>
      <c r="P215" s="198" t="s">
        <v>38</v>
      </c>
      <c r="Q215" s="122" t="s">
        <v>41</v>
      </c>
      <c r="T215" s="123">
        <v>1</v>
      </c>
      <c r="U215" s="123">
        <v>1</v>
      </c>
      <c r="W215" s="123">
        <f t="shared" si="4"/>
        <v>2</v>
      </c>
      <c r="X215" s="124">
        <v>2</v>
      </c>
      <c r="Y215" s="125">
        <v>3</v>
      </c>
      <c r="AD215" s="128" t="s">
        <v>275</v>
      </c>
    </row>
    <row r="216" spans="1:30" ht="16.5">
      <c r="A216" s="47" t="s">
        <v>611</v>
      </c>
      <c r="B216" s="55" t="s">
        <v>612</v>
      </c>
      <c r="C216" s="49"/>
      <c r="D216" s="50">
        <v>53</v>
      </c>
      <c r="E216" s="51">
        <v>1</v>
      </c>
      <c r="F216" s="52" t="s">
        <v>36</v>
      </c>
      <c r="G216" s="179" t="s">
        <v>133</v>
      </c>
      <c r="I216" s="133"/>
      <c r="K216" s="121" t="s">
        <v>38</v>
      </c>
      <c r="N216" s="122" t="s">
        <v>40</v>
      </c>
      <c r="O216" s="122" t="s">
        <v>140</v>
      </c>
      <c r="P216" s="198" t="s">
        <v>38</v>
      </c>
      <c r="Q216" s="122"/>
      <c r="T216" s="123">
        <v>1</v>
      </c>
      <c r="U216" s="123">
        <v>1</v>
      </c>
      <c r="V216" s="123">
        <v>1</v>
      </c>
      <c r="W216" s="123">
        <f t="shared" si="4"/>
        <v>3</v>
      </c>
      <c r="X216" s="124">
        <v>5</v>
      </c>
      <c r="Y216" s="125">
        <v>2</v>
      </c>
      <c r="Z216" s="126" t="s">
        <v>59</v>
      </c>
      <c r="AD216" s="128" t="s">
        <v>82</v>
      </c>
    </row>
    <row r="217" spans="1:30" ht="16.5">
      <c r="A217" s="47" t="s">
        <v>613</v>
      </c>
      <c r="B217" s="55" t="s">
        <v>614</v>
      </c>
      <c r="C217" s="49" t="s">
        <v>615</v>
      </c>
      <c r="D217" s="50">
        <v>54</v>
      </c>
      <c r="E217" s="51">
        <v>1</v>
      </c>
      <c r="F217" s="52" t="s">
        <v>36</v>
      </c>
      <c r="G217" s="179" t="s">
        <v>37</v>
      </c>
      <c r="H217" s="53" t="s">
        <v>616</v>
      </c>
      <c r="I217" s="133"/>
      <c r="K217" s="121" t="s">
        <v>38</v>
      </c>
      <c r="N217" s="122" t="s">
        <v>71</v>
      </c>
      <c r="O217" s="122" t="s">
        <v>76</v>
      </c>
      <c r="P217" s="198" t="s">
        <v>38</v>
      </c>
      <c r="Q217" s="122" t="s">
        <v>41</v>
      </c>
      <c r="R217" s="123">
        <v>1</v>
      </c>
      <c r="V217" s="123">
        <v>1</v>
      </c>
      <c r="W217" s="123">
        <f t="shared" si="4"/>
        <v>2</v>
      </c>
      <c r="X217" s="124">
        <v>5</v>
      </c>
      <c r="Y217" s="125">
        <v>1</v>
      </c>
      <c r="AD217" s="128" t="s">
        <v>380</v>
      </c>
    </row>
    <row r="218" spans="1:30" ht="16.5">
      <c r="A218" s="47" t="s">
        <v>617</v>
      </c>
      <c r="B218" s="55" t="s">
        <v>618</v>
      </c>
      <c r="C218" s="49"/>
      <c r="D218" s="50">
        <v>55</v>
      </c>
      <c r="E218" s="51">
        <v>1</v>
      </c>
      <c r="F218" s="52" t="s">
        <v>36</v>
      </c>
      <c r="G218" s="179" t="s">
        <v>133</v>
      </c>
      <c r="I218" s="133"/>
      <c r="M218" s="121" t="s">
        <v>39</v>
      </c>
      <c r="N218" s="122"/>
      <c r="O218" s="122" t="s">
        <v>140</v>
      </c>
      <c r="P218" s="198" t="s">
        <v>38</v>
      </c>
      <c r="Q218" s="122"/>
      <c r="R218" s="123">
        <v>1</v>
      </c>
      <c r="T218" s="123">
        <v>1</v>
      </c>
      <c r="U218" s="123">
        <v>1</v>
      </c>
      <c r="W218" s="123">
        <f t="shared" si="4"/>
        <v>3</v>
      </c>
      <c r="X218" s="124">
        <v>1</v>
      </c>
      <c r="Y218" s="125">
        <v>2</v>
      </c>
      <c r="Z218" s="126" t="s">
        <v>458</v>
      </c>
      <c r="AD218" s="128">
        <v>5</v>
      </c>
    </row>
    <row r="219" spans="1:30" ht="16.5">
      <c r="A219" s="47" t="s">
        <v>619</v>
      </c>
      <c r="B219" s="55" t="s">
        <v>620</v>
      </c>
      <c r="C219" s="49"/>
      <c r="D219" s="50">
        <v>56</v>
      </c>
      <c r="E219" s="51">
        <v>1</v>
      </c>
      <c r="F219" s="52" t="s">
        <v>62</v>
      </c>
      <c r="G219" s="181" t="s">
        <v>621</v>
      </c>
      <c r="I219" s="133"/>
      <c r="K219" s="121" t="s">
        <v>47</v>
      </c>
      <c r="N219" s="122" t="s">
        <v>40</v>
      </c>
      <c r="O219" s="122" t="s">
        <v>76</v>
      </c>
      <c r="P219" s="198" t="s">
        <v>47</v>
      </c>
      <c r="Q219" s="122" t="s">
        <v>41</v>
      </c>
      <c r="S219" s="123">
        <v>1</v>
      </c>
      <c r="U219" s="123">
        <v>1</v>
      </c>
      <c r="V219" s="123">
        <v>1</v>
      </c>
      <c r="W219" s="123">
        <f t="shared" si="4"/>
        <v>3</v>
      </c>
      <c r="X219" s="124">
        <v>2</v>
      </c>
      <c r="Y219" s="125">
        <v>5</v>
      </c>
      <c r="AB219" s="127" t="s">
        <v>195</v>
      </c>
      <c r="AD219" s="128" t="s">
        <v>622</v>
      </c>
    </row>
    <row r="220" spans="1:30" ht="16.5">
      <c r="A220" s="47" t="s">
        <v>623</v>
      </c>
      <c r="B220" s="55" t="s">
        <v>624</v>
      </c>
      <c r="C220" s="49"/>
      <c r="D220" s="50">
        <v>56</v>
      </c>
      <c r="E220" s="51">
        <v>2</v>
      </c>
      <c r="F220" s="52" t="s">
        <v>62</v>
      </c>
      <c r="G220" s="179" t="s">
        <v>85</v>
      </c>
      <c r="I220" s="133"/>
      <c r="K220" s="121" t="s">
        <v>47</v>
      </c>
      <c r="N220" s="122"/>
      <c r="O220" s="122" t="s">
        <v>76</v>
      </c>
      <c r="P220" s="198" t="s">
        <v>47</v>
      </c>
      <c r="Q220" s="122"/>
      <c r="R220" s="123">
        <v>1</v>
      </c>
      <c r="U220" s="123">
        <v>1</v>
      </c>
      <c r="V220" s="123">
        <v>1</v>
      </c>
      <c r="W220" s="123">
        <f t="shared" si="4"/>
        <v>3</v>
      </c>
      <c r="X220" s="124">
        <v>2</v>
      </c>
      <c r="Y220" s="125">
        <v>1</v>
      </c>
      <c r="AD220" s="128" t="s">
        <v>625</v>
      </c>
    </row>
    <row r="221" spans="1:30" ht="16.5">
      <c r="A221" s="47" t="s">
        <v>626</v>
      </c>
      <c r="B221" s="55" t="s">
        <v>627</v>
      </c>
      <c r="C221" s="49"/>
      <c r="D221" s="50">
        <v>57</v>
      </c>
      <c r="E221" s="51">
        <v>1</v>
      </c>
      <c r="F221" s="52" t="s">
        <v>36</v>
      </c>
      <c r="G221" s="179" t="s">
        <v>628</v>
      </c>
      <c r="I221" s="133"/>
      <c r="L221" s="121" t="s">
        <v>41</v>
      </c>
      <c r="N221" s="122"/>
      <c r="O221" s="122" t="s">
        <v>76</v>
      </c>
      <c r="P221" s="198" t="s">
        <v>47</v>
      </c>
      <c r="Q221" s="122" t="s">
        <v>41</v>
      </c>
      <c r="R221" s="123">
        <v>1</v>
      </c>
      <c r="V221" s="123">
        <v>1</v>
      </c>
      <c r="W221" s="123">
        <f t="shared" si="4"/>
        <v>2</v>
      </c>
      <c r="X221" s="124">
        <v>5</v>
      </c>
      <c r="Y221" s="125">
        <v>4</v>
      </c>
      <c r="AD221" s="128" t="s">
        <v>151</v>
      </c>
    </row>
    <row r="222" spans="1:30" ht="16.5">
      <c r="A222" s="47" t="s">
        <v>629</v>
      </c>
      <c r="B222" s="55" t="s">
        <v>630</v>
      </c>
      <c r="C222" s="49"/>
      <c r="D222" s="50">
        <v>58</v>
      </c>
      <c r="E222" s="51">
        <v>1</v>
      </c>
      <c r="F222" s="52" t="s">
        <v>36</v>
      </c>
      <c r="G222" s="179" t="s">
        <v>67</v>
      </c>
      <c r="I222" s="133"/>
      <c r="K222" s="121" t="s">
        <v>38</v>
      </c>
      <c r="N222" s="122" t="s">
        <v>71</v>
      </c>
      <c r="O222" s="122" t="s">
        <v>140</v>
      </c>
      <c r="P222" s="198" t="s">
        <v>38</v>
      </c>
      <c r="Q222" s="122" t="s">
        <v>41</v>
      </c>
      <c r="R222" s="123">
        <v>1</v>
      </c>
      <c r="U222" s="123">
        <v>1</v>
      </c>
      <c r="V222" s="123">
        <v>1</v>
      </c>
      <c r="W222" s="123">
        <f t="shared" si="4"/>
        <v>3</v>
      </c>
      <c r="X222" s="124">
        <v>1</v>
      </c>
      <c r="Y222" s="125">
        <v>2</v>
      </c>
      <c r="Z222" s="126" t="s">
        <v>59</v>
      </c>
      <c r="AD222" s="128" t="s">
        <v>240</v>
      </c>
    </row>
    <row r="223" spans="1:30" ht="16.5">
      <c r="A223" s="47" t="s">
        <v>631</v>
      </c>
      <c r="B223" s="55" t="s">
        <v>632</v>
      </c>
      <c r="C223" s="49"/>
      <c r="D223" s="50">
        <v>59</v>
      </c>
      <c r="E223" s="51">
        <v>1</v>
      </c>
      <c r="F223" s="52" t="s">
        <v>36</v>
      </c>
      <c r="G223" s="179" t="s">
        <v>46</v>
      </c>
      <c r="I223" s="133"/>
      <c r="J223" s="121" t="s">
        <v>76</v>
      </c>
      <c r="L223" s="121" t="s">
        <v>41</v>
      </c>
      <c r="N223" s="122"/>
      <c r="O223" s="122" t="s">
        <v>76</v>
      </c>
      <c r="P223" s="198" t="s">
        <v>96</v>
      </c>
      <c r="Q223" s="122" t="s">
        <v>41</v>
      </c>
      <c r="U223" s="123">
        <v>1</v>
      </c>
      <c r="V223" s="123">
        <v>1</v>
      </c>
      <c r="W223" s="123">
        <f t="shared" si="4"/>
        <v>2</v>
      </c>
      <c r="X223" s="124">
        <v>2</v>
      </c>
      <c r="Y223" s="125" t="s">
        <v>189</v>
      </c>
      <c r="AB223" s="127" t="s">
        <v>195</v>
      </c>
      <c r="AD223" s="128" t="s">
        <v>105</v>
      </c>
    </row>
    <row r="224" spans="1:30" ht="16.5">
      <c r="A224" s="47" t="s">
        <v>633</v>
      </c>
      <c r="B224" s="55" t="s">
        <v>634</v>
      </c>
      <c r="C224" s="49"/>
      <c r="D224" s="50">
        <v>60</v>
      </c>
      <c r="E224" s="51">
        <v>1</v>
      </c>
      <c r="F224" s="52" t="s">
        <v>36</v>
      </c>
      <c r="G224" s="179" t="s">
        <v>81</v>
      </c>
      <c r="I224" s="133"/>
      <c r="L224" s="121" t="s">
        <v>41</v>
      </c>
      <c r="N224" s="122"/>
      <c r="O224" s="122" t="s">
        <v>76</v>
      </c>
      <c r="P224" s="198" t="s">
        <v>38</v>
      </c>
      <c r="Q224" s="122" t="s">
        <v>41</v>
      </c>
      <c r="U224" s="123">
        <v>1</v>
      </c>
      <c r="V224" s="123">
        <v>1</v>
      </c>
      <c r="W224" s="123">
        <f t="shared" si="4"/>
        <v>2</v>
      </c>
      <c r="X224" s="124">
        <v>4</v>
      </c>
      <c r="Y224" s="125">
        <v>2</v>
      </c>
      <c r="AD224" s="128" t="s">
        <v>144</v>
      </c>
    </row>
    <row r="225" spans="1:30" ht="16.5">
      <c r="A225" s="47" t="s">
        <v>635</v>
      </c>
      <c r="B225" s="55" t="s">
        <v>636</v>
      </c>
      <c r="C225" s="49"/>
      <c r="D225" s="50">
        <v>61</v>
      </c>
      <c r="E225" s="51">
        <v>1</v>
      </c>
      <c r="F225" s="52" t="s">
        <v>36</v>
      </c>
      <c r="G225" s="179" t="s">
        <v>172</v>
      </c>
      <c r="I225" s="133"/>
      <c r="L225" s="121" t="s">
        <v>41</v>
      </c>
      <c r="N225" s="122"/>
      <c r="O225" s="122" t="s">
        <v>76</v>
      </c>
      <c r="P225" s="198" t="s">
        <v>38</v>
      </c>
      <c r="Q225" s="122" t="s">
        <v>41</v>
      </c>
      <c r="R225" s="123">
        <v>1</v>
      </c>
      <c r="U225" s="123">
        <v>1</v>
      </c>
      <c r="V225" s="123">
        <v>1</v>
      </c>
      <c r="W225" s="123">
        <f t="shared" si="4"/>
        <v>3</v>
      </c>
      <c r="X225" s="124">
        <v>4</v>
      </c>
      <c r="Y225" s="125">
        <v>2</v>
      </c>
      <c r="AD225" s="128" t="s">
        <v>206</v>
      </c>
    </row>
    <row r="226" spans="1:30" ht="16.5">
      <c r="A226" s="47" t="s">
        <v>637</v>
      </c>
      <c r="B226" s="55" t="s">
        <v>638</v>
      </c>
      <c r="C226" s="49"/>
      <c r="D226" s="50">
        <v>62</v>
      </c>
      <c r="E226" s="51">
        <v>1</v>
      </c>
      <c r="F226" s="52" t="s">
        <v>36</v>
      </c>
      <c r="G226" s="179" t="s">
        <v>37</v>
      </c>
      <c r="I226" s="133"/>
      <c r="K226" s="121" t="s">
        <v>38</v>
      </c>
      <c r="M226" s="121" t="s">
        <v>39</v>
      </c>
      <c r="N226" s="122"/>
      <c r="O226" s="122"/>
      <c r="P226" s="198" t="s">
        <v>38</v>
      </c>
      <c r="Q226" s="122"/>
      <c r="R226" s="123">
        <v>1</v>
      </c>
      <c r="T226" s="123">
        <v>1</v>
      </c>
      <c r="U226" s="123">
        <v>1</v>
      </c>
      <c r="V226" s="123">
        <v>1</v>
      </c>
      <c r="W226" s="123">
        <f t="shared" si="4"/>
        <v>4</v>
      </c>
      <c r="X226" s="124">
        <v>1</v>
      </c>
      <c r="Y226" s="125" t="s">
        <v>213</v>
      </c>
      <c r="AD226" s="128" t="s">
        <v>639</v>
      </c>
    </row>
    <row r="227" spans="1:30" ht="16.5">
      <c r="A227" s="47" t="s">
        <v>640</v>
      </c>
      <c r="B227" s="55" t="s">
        <v>641</v>
      </c>
      <c r="C227" s="49"/>
      <c r="D227" s="50">
        <v>63</v>
      </c>
      <c r="E227" s="51">
        <v>1</v>
      </c>
      <c r="F227" s="52" t="s">
        <v>36</v>
      </c>
      <c r="G227" s="179" t="s">
        <v>85</v>
      </c>
      <c r="I227" s="133"/>
      <c r="K227" s="121" t="s">
        <v>38</v>
      </c>
      <c r="M227" s="121" t="s">
        <v>39</v>
      </c>
      <c r="N227" s="122" t="s">
        <v>71</v>
      </c>
      <c r="O227" s="122" t="s">
        <v>57</v>
      </c>
      <c r="P227" s="198" t="s">
        <v>96</v>
      </c>
      <c r="Q227" s="122"/>
      <c r="T227" s="123">
        <v>1</v>
      </c>
      <c r="U227" s="123">
        <v>1</v>
      </c>
      <c r="V227" s="123">
        <v>1</v>
      </c>
      <c r="W227" s="123">
        <f t="shared" si="4"/>
        <v>3</v>
      </c>
      <c r="X227" s="124">
        <v>2</v>
      </c>
      <c r="Y227" s="125" t="s">
        <v>213</v>
      </c>
      <c r="Z227" s="126" t="s">
        <v>458</v>
      </c>
      <c r="AD227" s="128" t="s">
        <v>584</v>
      </c>
    </row>
    <row r="228" spans="1:30" ht="16.5">
      <c r="A228" s="47" t="s">
        <v>642</v>
      </c>
      <c r="B228" s="55" t="s">
        <v>643</v>
      </c>
      <c r="C228" s="49"/>
      <c r="D228" s="50">
        <v>64</v>
      </c>
      <c r="E228" s="51">
        <v>1</v>
      </c>
      <c r="F228" s="52" t="s">
        <v>36</v>
      </c>
      <c r="G228" s="179" t="s">
        <v>172</v>
      </c>
      <c r="I228" s="133"/>
      <c r="L228" s="121" t="s">
        <v>41</v>
      </c>
      <c r="N228" s="122"/>
      <c r="O228" s="122" t="s">
        <v>76</v>
      </c>
      <c r="P228" s="198"/>
      <c r="Q228" s="122" t="s">
        <v>41</v>
      </c>
      <c r="R228" s="123">
        <v>1</v>
      </c>
      <c r="S228" s="123">
        <v>1</v>
      </c>
      <c r="V228" s="123">
        <v>1</v>
      </c>
      <c r="W228" s="123">
        <f t="shared" si="4"/>
        <v>3</v>
      </c>
      <c r="X228" s="124">
        <v>1</v>
      </c>
      <c r="Y228" s="125">
        <v>3</v>
      </c>
      <c r="AD228" s="128" t="s">
        <v>644</v>
      </c>
    </row>
    <row r="229" spans="1:30" ht="16.5">
      <c r="A229" s="47" t="s">
        <v>645</v>
      </c>
      <c r="B229" s="55" t="s">
        <v>646</v>
      </c>
      <c r="C229" s="49"/>
      <c r="D229" s="50">
        <v>65</v>
      </c>
      <c r="E229" s="51">
        <v>1</v>
      </c>
      <c r="F229" s="52" t="s">
        <v>36</v>
      </c>
      <c r="G229" s="179" t="s">
        <v>81</v>
      </c>
      <c r="I229" s="133"/>
      <c r="M229" s="121" t="s">
        <v>39</v>
      </c>
      <c r="N229" s="122"/>
      <c r="O229" s="122" t="s">
        <v>140</v>
      </c>
      <c r="P229" s="198" t="s">
        <v>38</v>
      </c>
      <c r="Q229" s="122" t="s">
        <v>41</v>
      </c>
      <c r="R229" s="123">
        <v>1</v>
      </c>
      <c r="U229" s="123">
        <v>1</v>
      </c>
      <c r="V229" s="123">
        <v>1</v>
      </c>
      <c r="W229" s="123">
        <f t="shared" si="4"/>
        <v>3</v>
      </c>
      <c r="X229" s="124">
        <v>2</v>
      </c>
      <c r="Y229" s="125">
        <v>4</v>
      </c>
      <c r="Z229" s="126" t="s">
        <v>59</v>
      </c>
      <c r="AD229" s="128" t="s">
        <v>93</v>
      </c>
    </row>
    <row r="230" spans="1:30" ht="16.5">
      <c r="A230" s="47" t="s">
        <v>647</v>
      </c>
      <c r="B230" s="55" t="s">
        <v>648</v>
      </c>
      <c r="C230" s="49"/>
      <c r="D230" s="50">
        <v>66</v>
      </c>
      <c r="E230" s="51">
        <v>1</v>
      </c>
      <c r="F230" s="52" t="s">
        <v>36</v>
      </c>
      <c r="G230" s="179" t="s">
        <v>412</v>
      </c>
      <c r="I230" s="133"/>
      <c r="J230" s="121" t="s">
        <v>76</v>
      </c>
      <c r="K230" s="121" t="s">
        <v>38</v>
      </c>
      <c r="L230" s="121" t="s">
        <v>41</v>
      </c>
      <c r="N230" s="122"/>
      <c r="O230" s="122" t="s">
        <v>76</v>
      </c>
      <c r="P230" s="198" t="s">
        <v>38</v>
      </c>
      <c r="Q230" s="122" t="s">
        <v>41</v>
      </c>
      <c r="V230" s="123">
        <v>1</v>
      </c>
      <c r="W230" s="123">
        <f t="shared" si="4"/>
        <v>1</v>
      </c>
      <c r="X230" s="124">
        <v>5</v>
      </c>
      <c r="Y230" s="125" t="s">
        <v>649</v>
      </c>
      <c r="AD230" s="128" t="s">
        <v>650</v>
      </c>
    </row>
    <row r="231" spans="1:30" ht="16.5">
      <c r="A231" s="47" t="s">
        <v>651</v>
      </c>
      <c r="B231" s="55" t="s">
        <v>652</v>
      </c>
      <c r="C231" s="49" t="s">
        <v>653</v>
      </c>
      <c r="D231" s="50">
        <v>67</v>
      </c>
      <c r="E231" s="51">
        <v>1</v>
      </c>
      <c r="F231" s="52" t="s">
        <v>36</v>
      </c>
      <c r="G231" s="179" t="s">
        <v>307</v>
      </c>
      <c r="H231" s="53" t="s">
        <v>654</v>
      </c>
      <c r="I231" s="133"/>
      <c r="M231" s="121" t="s">
        <v>39</v>
      </c>
      <c r="N231" s="122"/>
      <c r="O231" s="122"/>
      <c r="P231" s="198" t="s">
        <v>47</v>
      </c>
      <c r="Q231" s="122" t="s">
        <v>41</v>
      </c>
      <c r="R231" s="123">
        <v>1</v>
      </c>
      <c r="S231" s="123">
        <v>1</v>
      </c>
      <c r="U231" s="123">
        <v>1</v>
      </c>
      <c r="V231" s="123">
        <v>1</v>
      </c>
      <c r="W231" s="123">
        <f t="shared" si="4"/>
        <v>4</v>
      </c>
      <c r="X231" s="124">
        <v>5</v>
      </c>
      <c r="Y231" s="125">
        <v>1</v>
      </c>
      <c r="AD231" s="128" t="s">
        <v>99</v>
      </c>
    </row>
    <row r="232" spans="1:30" ht="16.5">
      <c r="A232" s="47" t="s">
        <v>655</v>
      </c>
      <c r="B232" s="55" t="s">
        <v>656</v>
      </c>
      <c r="C232" s="49"/>
      <c r="D232" s="50">
        <v>68</v>
      </c>
      <c r="E232" s="51">
        <v>1</v>
      </c>
      <c r="F232" s="52" t="s">
        <v>36</v>
      </c>
      <c r="G232" s="179" t="s">
        <v>307</v>
      </c>
      <c r="I232" s="133"/>
      <c r="K232" s="121" t="s">
        <v>47</v>
      </c>
      <c r="N232" s="122"/>
      <c r="O232" s="122" t="s">
        <v>76</v>
      </c>
      <c r="P232" s="198" t="s">
        <v>47</v>
      </c>
      <c r="Q232" s="122" t="s">
        <v>342</v>
      </c>
      <c r="R232" s="123">
        <v>1</v>
      </c>
      <c r="S232" s="123">
        <v>1</v>
      </c>
      <c r="V232" s="123">
        <v>1</v>
      </c>
      <c r="W232" s="123">
        <f t="shared" si="4"/>
        <v>3</v>
      </c>
      <c r="X232" s="124">
        <v>2</v>
      </c>
      <c r="Y232" s="125">
        <v>5</v>
      </c>
      <c r="AA232" s="127" t="s">
        <v>113</v>
      </c>
      <c r="AD232" s="128" t="s">
        <v>445</v>
      </c>
    </row>
    <row r="233" spans="1:30" ht="16.5">
      <c r="A233" s="47" t="s">
        <v>657</v>
      </c>
      <c r="B233" s="55" t="s">
        <v>658</v>
      </c>
      <c r="C233" s="49"/>
      <c r="D233" s="50">
        <v>69</v>
      </c>
      <c r="E233" s="51">
        <v>1</v>
      </c>
      <c r="F233" s="52" t="s">
        <v>36</v>
      </c>
      <c r="G233" s="179" t="s">
        <v>133</v>
      </c>
      <c r="I233" s="133"/>
      <c r="K233" s="121" t="s">
        <v>38</v>
      </c>
      <c r="N233" s="122"/>
      <c r="O233" s="122"/>
      <c r="P233" s="198" t="s">
        <v>38</v>
      </c>
      <c r="Q233" s="122" t="s">
        <v>41</v>
      </c>
      <c r="R233" s="123">
        <v>1</v>
      </c>
      <c r="W233" s="123">
        <f t="shared" si="4"/>
        <v>1</v>
      </c>
      <c r="X233" s="124">
        <v>5</v>
      </c>
      <c r="Y233" s="125">
        <v>1</v>
      </c>
      <c r="AD233" s="128" t="s">
        <v>99</v>
      </c>
    </row>
    <row r="234" spans="1:30" ht="16.5">
      <c r="A234" s="47" t="s">
        <v>659</v>
      </c>
      <c r="B234" s="55" t="s">
        <v>660</v>
      </c>
      <c r="C234" s="49"/>
      <c r="D234" s="50">
        <v>70</v>
      </c>
      <c r="E234" s="51">
        <v>1</v>
      </c>
      <c r="F234" s="52" t="s">
        <v>36</v>
      </c>
      <c r="G234" s="179" t="s">
        <v>172</v>
      </c>
      <c r="I234" s="133"/>
      <c r="K234" s="121" t="s">
        <v>38</v>
      </c>
      <c r="N234" s="122"/>
      <c r="O234" s="122" t="s">
        <v>76</v>
      </c>
      <c r="P234" s="198" t="s">
        <v>38</v>
      </c>
      <c r="Q234" s="122"/>
      <c r="R234" s="123">
        <v>1</v>
      </c>
      <c r="U234" s="123">
        <v>1</v>
      </c>
      <c r="W234" s="123">
        <f t="shared" si="4"/>
        <v>2</v>
      </c>
      <c r="X234" s="124">
        <v>2</v>
      </c>
      <c r="Y234" s="125">
        <v>2</v>
      </c>
      <c r="AD234" s="128" t="s">
        <v>82</v>
      </c>
    </row>
    <row r="235" spans="1:30" ht="16.5">
      <c r="A235" s="47" t="s">
        <v>661</v>
      </c>
      <c r="B235" s="55" t="s">
        <v>662</v>
      </c>
      <c r="C235" s="49"/>
      <c r="D235" s="50">
        <v>71</v>
      </c>
      <c r="E235" s="51">
        <v>1</v>
      </c>
      <c r="F235" s="52" t="s">
        <v>36</v>
      </c>
      <c r="G235" s="179" t="s">
        <v>63</v>
      </c>
      <c r="I235" s="133"/>
      <c r="K235" s="121" t="s">
        <v>38</v>
      </c>
      <c r="M235" s="121" t="s">
        <v>39</v>
      </c>
      <c r="N235" s="122" t="s">
        <v>40</v>
      </c>
      <c r="O235" s="122"/>
      <c r="P235" s="198" t="s">
        <v>38</v>
      </c>
      <c r="Q235" s="122"/>
      <c r="U235" s="123">
        <v>1</v>
      </c>
      <c r="V235" s="123">
        <v>1</v>
      </c>
      <c r="W235" s="123">
        <f t="shared" si="4"/>
        <v>2</v>
      </c>
      <c r="X235" s="124">
        <v>1</v>
      </c>
      <c r="Y235" s="125">
        <v>2</v>
      </c>
      <c r="AD235" s="128" t="s">
        <v>663</v>
      </c>
    </row>
    <row r="236" spans="1:30" ht="16.5">
      <c r="A236" s="47" t="s">
        <v>664</v>
      </c>
      <c r="B236" s="55" t="s">
        <v>665</v>
      </c>
      <c r="C236" s="49"/>
      <c r="D236" s="50">
        <v>72</v>
      </c>
      <c r="E236" s="51">
        <v>1</v>
      </c>
      <c r="F236" s="52" t="s">
        <v>36</v>
      </c>
      <c r="G236" s="179" t="s">
        <v>172</v>
      </c>
      <c r="I236" s="133"/>
      <c r="M236" s="121" t="s">
        <v>39</v>
      </c>
      <c r="N236" s="122" t="s">
        <v>40</v>
      </c>
      <c r="O236" s="122" t="s">
        <v>76</v>
      </c>
      <c r="P236" s="198" t="s">
        <v>38</v>
      </c>
      <c r="Q236" s="122" t="s">
        <v>41</v>
      </c>
      <c r="U236" s="123">
        <v>1</v>
      </c>
      <c r="V236" s="123">
        <v>1</v>
      </c>
      <c r="W236" s="123">
        <f t="shared" si="4"/>
        <v>2</v>
      </c>
      <c r="X236" s="124">
        <v>2</v>
      </c>
      <c r="Y236" s="125">
        <v>4</v>
      </c>
      <c r="AD236" s="128" t="s">
        <v>666</v>
      </c>
    </row>
    <row r="237" spans="1:30" ht="16.5">
      <c r="A237" s="47" t="s">
        <v>667</v>
      </c>
      <c r="B237" s="55" t="s">
        <v>668</v>
      </c>
      <c r="C237" s="49"/>
      <c r="D237" s="50">
        <v>73</v>
      </c>
      <c r="E237" s="51">
        <v>1</v>
      </c>
      <c r="F237" s="52" t="s">
        <v>36</v>
      </c>
      <c r="G237" s="179" t="s">
        <v>192</v>
      </c>
      <c r="I237" s="133"/>
      <c r="K237" s="121" t="s">
        <v>47</v>
      </c>
      <c r="N237" s="122" t="s">
        <v>53</v>
      </c>
      <c r="O237" s="122" t="s">
        <v>76</v>
      </c>
      <c r="P237" s="198" t="s">
        <v>47</v>
      </c>
      <c r="Q237" s="122" t="s">
        <v>41</v>
      </c>
      <c r="U237" s="123">
        <v>1</v>
      </c>
      <c r="V237" s="123">
        <v>1</v>
      </c>
      <c r="W237" s="123">
        <f t="shared" si="4"/>
        <v>2</v>
      </c>
      <c r="X237" s="124">
        <v>1</v>
      </c>
      <c r="Y237" s="125">
        <v>2</v>
      </c>
      <c r="AD237" s="128" t="s">
        <v>389</v>
      </c>
    </row>
    <row r="238" spans="1:30" ht="16.5">
      <c r="A238" s="47" t="s">
        <v>669</v>
      </c>
      <c r="B238" s="55" t="s">
        <v>670</v>
      </c>
      <c r="C238" s="49"/>
      <c r="D238" s="50">
        <v>74</v>
      </c>
      <c r="E238" s="51">
        <v>1</v>
      </c>
      <c r="F238" s="52" t="s">
        <v>36</v>
      </c>
      <c r="G238" s="179" t="s">
        <v>540</v>
      </c>
      <c r="I238" s="133"/>
      <c r="M238" s="121" t="s">
        <v>39</v>
      </c>
      <c r="N238" s="122"/>
      <c r="O238" s="122" t="s">
        <v>76</v>
      </c>
      <c r="P238" s="198" t="s">
        <v>38</v>
      </c>
      <c r="Q238" s="122"/>
      <c r="R238" s="123">
        <v>1</v>
      </c>
      <c r="U238" s="123">
        <v>1</v>
      </c>
      <c r="V238" s="123">
        <v>1</v>
      </c>
      <c r="W238" s="123">
        <f t="shared" si="4"/>
        <v>3</v>
      </c>
      <c r="X238" s="124">
        <v>4</v>
      </c>
      <c r="Y238" s="125">
        <v>2</v>
      </c>
      <c r="AD238" s="128" t="s">
        <v>671</v>
      </c>
    </row>
    <row r="239" spans="1:30" ht="16.5">
      <c r="A239" s="47" t="s">
        <v>672</v>
      </c>
      <c r="B239" s="55" t="s">
        <v>673</v>
      </c>
      <c r="C239" s="49"/>
      <c r="D239" s="50">
        <v>75</v>
      </c>
      <c r="E239" s="51">
        <v>1</v>
      </c>
      <c r="F239" s="52" t="s">
        <v>36</v>
      </c>
      <c r="G239" s="179" t="s">
        <v>172</v>
      </c>
      <c r="I239" s="133"/>
      <c r="M239" s="121" t="s">
        <v>39</v>
      </c>
      <c r="N239" s="122" t="s">
        <v>71</v>
      </c>
      <c r="O239" s="122" t="s">
        <v>140</v>
      </c>
      <c r="P239" s="198" t="s">
        <v>38</v>
      </c>
      <c r="Q239" s="122"/>
      <c r="R239" s="123">
        <v>1</v>
      </c>
      <c r="T239" s="123">
        <v>1</v>
      </c>
      <c r="U239" s="123">
        <v>1</v>
      </c>
      <c r="V239" s="123">
        <v>1</v>
      </c>
      <c r="W239" s="123">
        <f t="shared" si="4"/>
        <v>4</v>
      </c>
      <c r="X239" s="124">
        <v>2</v>
      </c>
      <c r="Y239" s="125">
        <v>2</v>
      </c>
      <c r="Z239" s="126" t="s">
        <v>59</v>
      </c>
      <c r="AD239" s="128" t="s">
        <v>105</v>
      </c>
    </row>
    <row r="240" spans="1:30" ht="16.5">
      <c r="A240" s="47" t="s">
        <v>674</v>
      </c>
      <c r="B240" s="55" t="s">
        <v>675</v>
      </c>
      <c r="C240" s="49"/>
      <c r="D240" s="50">
        <v>76</v>
      </c>
      <c r="E240" s="51">
        <v>1</v>
      </c>
      <c r="F240" s="52" t="s">
        <v>36</v>
      </c>
      <c r="G240" s="179" t="s">
        <v>133</v>
      </c>
      <c r="I240" s="133"/>
      <c r="M240" s="121" t="s">
        <v>39</v>
      </c>
      <c r="N240" s="122" t="s">
        <v>40</v>
      </c>
      <c r="O240" s="122"/>
      <c r="P240" s="198" t="s">
        <v>38</v>
      </c>
      <c r="Q240" s="122" t="s">
        <v>41</v>
      </c>
      <c r="R240" s="123">
        <v>1</v>
      </c>
      <c r="U240" s="123">
        <v>1</v>
      </c>
      <c r="V240" s="123">
        <v>1</v>
      </c>
      <c r="W240" s="123">
        <f t="shared" si="4"/>
        <v>3</v>
      </c>
      <c r="X240" s="124">
        <v>1</v>
      </c>
      <c r="Y240" s="125">
        <v>1</v>
      </c>
      <c r="AD240" s="128" t="s">
        <v>43</v>
      </c>
    </row>
    <row r="241" spans="1:30" ht="16.5">
      <c r="A241" s="47" t="s">
        <v>676</v>
      </c>
      <c r="B241" s="55" t="s">
        <v>677</v>
      </c>
      <c r="C241" s="49" t="s">
        <v>678</v>
      </c>
      <c r="D241" s="50">
        <v>77</v>
      </c>
      <c r="E241" s="51">
        <v>1</v>
      </c>
      <c r="F241" s="52" t="s">
        <v>36</v>
      </c>
      <c r="G241" s="179" t="s">
        <v>679</v>
      </c>
      <c r="H241" s="53" t="s">
        <v>680</v>
      </c>
      <c r="I241" s="133"/>
      <c r="L241" s="121" t="s">
        <v>41</v>
      </c>
      <c r="N241" s="122" t="s">
        <v>40</v>
      </c>
      <c r="O241" s="122"/>
      <c r="P241" s="198" t="s">
        <v>38</v>
      </c>
      <c r="Q241" s="122" t="s">
        <v>41</v>
      </c>
      <c r="U241" s="123">
        <v>1</v>
      </c>
      <c r="W241" s="123">
        <f t="shared" si="4"/>
        <v>1</v>
      </c>
      <c r="X241" s="124">
        <v>2</v>
      </c>
      <c r="Y241" s="125">
        <v>2</v>
      </c>
      <c r="AB241" s="127" t="s">
        <v>195</v>
      </c>
      <c r="AD241" s="128" t="s">
        <v>196</v>
      </c>
    </row>
    <row r="242" spans="1:30" ht="16.5">
      <c r="A242" s="47" t="s">
        <v>681</v>
      </c>
      <c r="B242" s="55" t="s">
        <v>682</v>
      </c>
      <c r="C242" s="49"/>
      <c r="D242" s="50">
        <v>78</v>
      </c>
      <c r="E242" s="51">
        <v>1</v>
      </c>
      <c r="F242" s="52" t="s">
        <v>36</v>
      </c>
      <c r="G242" s="179" t="s">
        <v>278</v>
      </c>
      <c r="I242" s="133"/>
      <c r="L242" s="121" t="s">
        <v>41</v>
      </c>
      <c r="N242" s="122"/>
      <c r="O242" s="122"/>
      <c r="P242" s="198" t="s">
        <v>38</v>
      </c>
      <c r="Q242" s="122" t="s">
        <v>41</v>
      </c>
      <c r="R242" s="123">
        <v>1</v>
      </c>
      <c r="U242" s="123">
        <v>1</v>
      </c>
      <c r="W242" s="123">
        <f t="shared" si="4"/>
        <v>2</v>
      </c>
      <c r="X242" s="124">
        <v>2</v>
      </c>
      <c r="Y242" s="125">
        <v>2</v>
      </c>
      <c r="AD242" s="128" t="s">
        <v>154</v>
      </c>
    </row>
    <row r="243" spans="1:30" ht="16.5">
      <c r="A243" s="47" t="s">
        <v>683</v>
      </c>
      <c r="B243" s="55" t="s">
        <v>684</v>
      </c>
      <c r="C243" s="49"/>
      <c r="D243" s="50">
        <v>79</v>
      </c>
      <c r="E243" s="51">
        <v>1</v>
      </c>
      <c r="F243" s="52" t="s">
        <v>36</v>
      </c>
      <c r="G243" s="179" t="s">
        <v>192</v>
      </c>
      <c r="I243" s="133" t="s">
        <v>40</v>
      </c>
      <c r="N243" s="122" t="s">
        <v>40</v>
      </c>
      <c r="O243" s="122" t="s">
        <v>76</v>
      </c>
      <c r="P243" s="198" t="s">
        <v>38</v>
      </c>
      <c r="Q243" s="122"/>
      <c r="T243" s="123">
        <v>1</v>
      </c>
      <c r="U243" s="123">
        <v>1</v>
      </c>
      <c r="V243" s="123">
        <v>1</v>
      </c>
      <c r="W243" s="123">
        <f t="shared" si="4"/>
        <v>3</v>
      </c>
      <c r="X243" s="124">
        <v>2</v>
      </c>
      <c r="Y243" s="125">
        <v>5</v>
      </c>
      <c r="AD243" s="128" t="s">
        <v>114</v>
      </c>
    </row>
    <row r="244" spans="1:30" ht="16.5">
      <c r="A244" s="47" t="s">
        <v>685</v>
      </c>
      <c r="B244" s="55" t="s">
        <v>686</v>
      </c>
      <c r="C244" s="49"/>
      <c r="D244" s="50">
        <v>80</v>
      </c>
      <c r="E244" s="51">
        <v>1</v>
      </c>
      <c r="F244" s="52" t="s">
        <v>36</v>
      </c>
      <c r="G244" s="179" t="s">
        <v>67</v>
      </c>
      <c r="I244" s="133"/>
      <c r="M244" s="121" t="s">
        <v>39</v>
      </c>
      <c r="N244" s="122"/>
      <c r="O244" s="122" t="s">
        <v>76</v>
      </c>
      <c r="P244" s="198" t="s">
        <v>47</v>
      </c>
      <c r="Q244" s="122"/>
      <c r="U244" s="123">
        <v>1</v>
      </c>
      <c r="V244" s="123">
        <v>1</v>
      </c>
      <c r="W244" s="123">
        <f t="shared" si="4"/>
        <v>2</v>
      </c>
      <c r="X244" s="124">
        <v>5</v>
      </c>
      <c r="Y244" s="125">
        <v>2</v>
      </c>
      <c r="AD244" s="128" t="s">
        <v>221</v>
      </c>
    </row>
    <row r="245" spans="1:30" ht="16.5">
      <c r="A245" s="47" t="s">
        <v>687</v>
      </c>
      <c r="B245" s="55" t="s">
        <v>688</v>
      </c>
      <c r="C245" s="49"/>
      <c r="D245" s="50">
        <v>81</v>
      </c>
      <c r="E245" s="51">
        <v>1</v>
      </c>
      <c r="F245" s="52" t="s">
        <v>36</v>
      </c>
      <c r="G245" s="179" t="s">
        <v>412</v>
      </c>
      <c r="I245" s="133"/>
      <c r="L245" s="121" t="s">
        <v>41</v>
      </c>
      <c r="N245" s="122" t="s">
        <v>71</v>
      </c>
      <c r="O245" s="122" t="s">
        <v>140</v>
      </c>
      <c r="P245" s="198" t="s">
        <v>47</v>
      </c>
      <c r="Q245" s="122" t="s">
        <v>41</v>
      </c>
      <c r="U245" s="123">
        <v>1</v>
      </c>
      <c r="V245" s="123">
        <v>1</v>
      </c>
      <c r="W245" s="123">
        <f t="shared" si="4"/>
        <v>2</v>
      </c>
      <c r="X245" s="124">
        <v>1</v>
      </c>
      <c r="Y245" s="125">
        <v>2</v>
      </c>
      <c r="Z245" s="126" t="s">
        <v>59</v>
      </c>
      <c r="AB245" s="127" t="s">
        <v>195</v>
      </c>
      <c r="AD245" s="128" t="s">
        <v>43</v>
      </c>
    </row>
    <row r="246" spans="1:30" ht="16.5">
      <c r="A246" s="47" t="s">
        <v>689</v>
      </c>
      <c r="B246" s="55" t="s">
        <v>690</v>
      </c>
      <c r="C246" s="49"/>
      <c r="D246" s="50">
        <v>82</v>
      </c>
      <c r="E246" s="51">
        <v>1</v>
      </c>
      <c r="F246" s="52" t="s">
        <v>36</v>
      </c>
      <c r="G246" s="179" t="s">
        <v>46</v>
      </c>
      <c r="I246" s="133"/>
      <c r="K246" s="121" t="s">
        <v>38</v>
      </c>
      <c r="N246" s="122"/>
      <c r="O246" s="122" t="s">
        <v>76</v>
      </c>
      <c r="P246" s="198" t="s">
        <v>38</v>
      </c>
      <c r="Q246" s="122"/>
      <c r="U246" s="123">
        <v>1</v>
      </c>
      <c r="W246" s="123">
        <f t="shared" si="4"/>
        <v>1</v>
      </c>
      <c r="X246" s="124">
        <v>2</v>
      </c>
      <c r="Y246" s="125">
        <v>2</v>
      </c>
      <c r="AB246" s="127" t="s">
        <v>125</v>
      </c>
      <c r="AD246" s="128" t="s">
        <v>93</v>
      </c>
    </row>
    <row r="247" spans="1:30" ht="16.5">
      <c r="A247" s="47" t="s">
        <v>691</v>
      </c>
      <c r="B247" s="55" t="s">
        <v>692</v>
      </c>
      <c r="C247" s="49"/>
      <c r="D247" s="50">
        <v>83</v>
      </c>
      <c r="E247" s="51">
        <v>1</v>
      </c>
      <c r="F247" s="52" t="s">
        <v>62</v>
      </c>
      <c r="G247" s="179" t="s">
        <v>37</v>
      </c>
      <c r="I247" s="133"/>
      <c r="N247" s="122" t="s">
        <v>40</v>
      </c>
      <c r="O247" s="122" t="s">
        <v>76</v>
      </c>
      <c r="P247" s="198"/>
      <c r="Q247" s="122"/>
      <c r="T247" s="123">
        <v>1</v>
      </c>
      <c r="U247" s="123">
        <v>1</v>
      </c>
      <c r="V247" s="123">
        <v>1</v>
      </c>
      <c r="W247" s="123">
        <f t="shared" si="4"/>
        <v>3</v>
      </c>
      <c r="X247" s="124">
        <v>2</v>
      </c>
      <c r="Y247" s="125"/>
      <c r="AD247" s="128" t="s">
        <v>260</v>
      </c>
    </row>
    <row r="248" spans="1:30" ht="16.5">
      <c r="A248" s="47" t="s">
        <v>693</v>
      </c>
      <c r="B248" s="55" t="s">
        <v>694</v>
      </c>
      <c r="C248" s="49"/>
      <c r="D248" s="50">
        <v>83</v>
      </c>
      <c r="E248" s="51">
        <v>2</v>
      </c>
      <c r="F248" s="52" t="s">
        <v>62</v>
      </c>
      <c r="G248" s="179" t="s">
        <v>85</v>
      </c>
      <c r="I248" s="133"/>
      <c r="K248" s="121" t="s">
        <v>47</v>
      </c>
      <c r="N248" s="122"/>
      <c r="O248" s="122" t="s">
        <v>76</v>
      </c>
      <c r="P248" s="198" t="s">
        <v>47</v>
      </c>
      <c r="Q248" s="122" t="s">
        <v>41</v>
      </c>
      <c r="U248" s="123">
        <v>1</v>
      </c>
      <c r="W248" s="123">
        <f t="shared" si="4"/>
        <v>1</v>
      </c>
      <c r="X248" s="124">
        <v>2</v>
      </c>
      <c r="Y248" s="125">
        <v>3</v>
      </c>
      <c r="AD248" s="128" t="s">
        <v>82</v>
      </c>
    </row>
    <row r="249" spans="1:30" ht="16.5">
      <c r="A249" s="47" t="s">
        <v>695</v>
      </c>
      <c r="B249" s="55" t="s">
        <v>696</v>
      </c>
      <c r="C249" s="49"/>
      <c r="D249" s="50">
        <v>84</v>
      </c>
      <c r="E249" s="51">
        <v>1</v>
      </c>
      <c r="F249" s="52" t="s">
        <v>62</v>
      </c>
      <c r="G249" s="179" t="s">
        <v>81</v>
      </c>
      <c r="I249" s="133"/>
      <c r="K249" s="121" t="s">
        <v>47</v>
      </c>
      <c r="N249" s="122"/>
      <c r="O249" s="122" t="s">
        <v>76</v>
      </c>
      <c r="P249" s="198" t="s">
        <v>47</v>
      </c>
      <c r="Q249" s="122"/>
      <c r="U249" s="123">
        <v>1</v>
      </c>
      <c r="V249" s="123">
        <v>1</v>
      </c>
      <c r="W249" s="123">
        <f t="shared" si="4"/>
        <v>2</v>
      </c>
      <c r="X249" s="124">
        <v>4</v>
      </c>
      <c r="Y249" s="125">
        <v>3</v>
      </c>
      <c r="AD249" s="128">
        <v>5</v>
      </c>
    </row>
    <row r="250" spans="1:30" ht="16.5">
      <c r="A250" s="47" t="s">
        <v>697</v>
      </c>
      <c r="B250" s="55" t="s">
        <v>698</v>
      </c>
      <c r="C250" s="49"/>
      <c r="D250" s="50">
        <v>84</v>
      </c>
      <c r="E250" s="51">
        <v>2</v>
      </c>
      <c r="F250" s="52" t="s">
        <v>62</v>
      </c>
      <c r="G250" s="179" t="s">
        <v>81</v>
      </c>
      <c r="I250" s="133"/>
      <c r="K250" s="121" t="s">
        <v>47</v>
      </c>
      <c r="N250" s="122"/>
      <c r="O250" s="122" t="s">
        <v>76</v>
      </c>
      <c r="P250" s="198" t="s">
        <v>47</v>
      </c>
      <c r="Q250" s="122" t="s">
        <v>41</v>
      </c>
      <c r="R250" s="123">
        <v>1</v>
      </c>
      <c r="V250" s="123">
        <v>1</v>
      </c>
      <c r="W250" s="123">
        <f t="shared" si="4"/>
        <v>2</v>
      </c>
      <c r="X250" s="124">
        <v>4</v>
      </c>
      <c r="Y250" s="125">
        <v>3</v>
      </c>
      <c r="AD250" s="128">
        <v>4</v>
      </c>
    </row>
    <row r="251" spans="1:30" ht="16.5">
      <c r="A251" s="47" t="s">
        <v>699</v>
      </c>
      <c r="B251" s="55" t="s">
        <v>700</v>
      </c>
      <c r="C251" s="49"/>
      <c r="D251" s="50">
        <v>85</v>
      </c>
      <c r="E251" s="51">
        <v>1</v>
      </c>
      <c r="F251" s="52" t="s">
        <v>36</v>
      </c>
      <c r="G251" s="179" t="s">
        <v>133</v>
      </c>
      <c r="I251" s="133"/>
      <c r="K251" s="121" t="s">
        <v>38</v>
      </c>
      <c r="N251" s="122" t="s">
        <v>71</v>
      </c>
      <c r="O251" s="122"/>
      <c r="P251" s="198" t="s">
        <v>38</v>
      </c>
      <c r="Q251" s="122"/>
      <c r="U251" s="123">
        <v>1</v>
      </c>
      <c r="V251" s="123">
        <v>1</v>
      </c>
      <c r="W251" s="123">
        <f t="shared" si="4"/>
        <v>2</v>
      </c>
      <c r="X251" s="124">
        <v>1</v>
      </c>
      <c r="Y251" s="125">
        <v>2</v>
      </c>
      <c r="AD251" s="128" t="s">
        <v>389</v>
      </c>
    </row>
    <row r="252" spans="1:30" ht="16.5">
      <c r="A252" s="47" t="s">
        <v>701</v>
      </c>
      <c r="B252" s="55" t="s">
        <v>702</v>
      </c>
      <c r="C252" s="49"/>
      <c r="D252" s="50">
        <v>86</v>
      </c>
      <c r="E252" s="51">
        <v>1</v>
      </c>
      <c r="F252" s="52" t="s">
        <v>36</v>
      </c>
      <c r="G252" s="179" t="s">
        <v>412</v>
      </c>
      <c r="I252" s="133"/>
      <c r="K252" s="121" t="s">
        <v>47</v>
      </c>
      <c r="N252" s="122"/>
      <c r="O252" s="122" t="s">
        <v>76</v>
      </c>
      <c r="P252" s="198" t="s">
        <v>47</v>
      </c>
      <c r="Q252" s="122"/>
      <c r="W252" s="123">
        <f t="shared" si="4"/>
        <v>0</v>
      </c>
      <c r="X252" s="124">
        <v>3</v>
      </c>
      <c r="Y252" s="125">
        <v>3</v>
      </c>
    </row>
    <row r="253" spans="1:30" ht="16.5">
      <c r="A253" s="47" t="s">
        <v>703</v>
      </c>
      <c r="B253" s="55" t="s">
        <v>704</v>
      </c>
      <c r="C253" s="49"/>
      <c r="D253" s="50">
        <v>87</v>
      </c>
      <c r="E253" s="51">
        <v>1</v>
      </c>
      <c r="F253" s="52" t="s">
        <v>36</v>
      </c>
      <c r="G253" s="179" t="s">
        <v>307</v>
      </c>
      <c r="I253" s="133"/>
      <c r="K253" s="121" t="s">
        <v>47</v>
      </c>
      <c r="N253" s="122"/>
      <c r="O253" s="122" t="s">
        <v>76</v>
      </c>
      <c r="P253" s="198" t="s">
        <v>47</v>
      </c>
      <c r="Q253" s="122" t="s">
        <v>41</v>
      </c>
      <c r="T253" s="123">
        <v>1</v>
      </c>
      <c r="U253" s="123">
        <v>1</v>
      </c>
      <c r="W253" s="123">
        <f t="shared" si="4"/>
        <v>2</v>
      </c>
      <c r="X253" s="124">
        <v>5</v>
      </c>
      <c r="Y253" s="125">
        <v>3</v>
      </c>
      <c r="AD253" s="128" t="s">
        <v>137</v>
      </c>
    </row>
    <row r="254" spans="1:30" ht="16.5">
      <c r="A254" s="47" t="s">
        <v>705</v>
      </c>
      <c r="B254" s="55" t="s">
        <v>706</v>
      </c>
      <c r="C254" s="49"/>
      <c r="D254" s="50">
        <v>88</v>
      </c>
      <c r="E254" s="51">
        <v>1</v>
      </c>
      <c r="F254" s="52" t="s">
        <v>62</v>
      </c>
      <c r="G254" s="179" t="s">
        <v>81</v>
      </c>
      <c r="I254" s="133"/>
      <c r="K254" s="121" t="s">
        <v>38</v>
      </c>
      <c r="N254" s="122"/>
      <c r="O254" s="122" t="s">
        <v>76</v>
      </c>
      <c r="P254" s="198" t="s">
        <v>38</v>
      </c>
      <c r="Q254" s="122"/>
      <c r="U254" s="123">
        <v>1</v>
      </c>
      <c r="V254" s="123">
        <v>1</v>
      </c>
      <c r="W254" s="123">
        <f t="shared" si="4"/>
        <v>2</v>
      </c>
      <c r="X254" s="124">
        <v>2</v>
      </c>
      <c r="Y254" s="125">
        <v>2</v>
      </c>
      <c r="AD254" s="128" t="s">
        <v>93</v>
      </c>
    </row>
    <row r="255" spans="1:30" ht="16.5">
      <c r="A255" s="47" t="s">
        <v>707</v>
      </c>
      <c r="B255" s="55" t="s">
        <v>708</v>
      </c>
      <c r="C255" s="49"/>
      <c r="D255" s="50">
        <v>88</v>
      </c>
      <c r="E255" s="51">
        <v>2</v>
      </c>
      <c r="F255" s="52" t="s">
        <v>62</v>
      </c>
      <c r="G255" s="179" t="s">
        <v>81</v>
      </c>
      <c r="I255" s="133"/>
      <c r="K255" s="121" t="s">
        <v>38</v>
      </c>
      <c r="M255" s="121" t="s">
        <v>709</v>
      </c>
      <c r="N255" s="122"/>
      <c r="O255" s="122" t="s">
        <v>57</v>
      </c>
      <c r="P255" s="198" t="s">
        <v>38</v>
      </c>
      <c r="Q255" s="122" t="s">
        <v>41</v>
      </c>
      <c r="U255" s="123">
        <v>1</v>
      </c>
      <c r="V255" s="123">
        <v>1</v>
      </c>
      <c r="W255" s="123">
        <f t="shared" si="4"/>
        <v>2</v>
      </c>
      <c r="X255" s="124">
        <v>2</v>
      </c>
      <c r="Y255" s="125" t="s">
        <v>189</v>
      </c>
      <c r="Z255" s="126" t="s">
        <v>458</v>
      </c>
      <c r="AD255" s="128" t="s">
        <v>221</v>
      </c>
    </row>
    <row r="256" spans="1:30" ht="16.5">
      <c r="A256" s="47" t="s">
        <v>710</v>
      </c>
      <c r="B256" s="55" t="s">
        <v>711</v>
      </c>
      <c r="C256" s="49"/>
      <c r="D256" s="50">
        <v>88</v>
      </c>
      <c r="E256" s="51">
        <v>3</v>
      </c>
      <c r="F256" s="52" t="s">
        <v>62</v>
      </c>
      <c r="G256" s="179" t="s">
        <v>81</v>
      </c>
      <c r="I256" s="133"/>
      <c r="K256" s="121" t="s">
        <v>38</v>
      </c>
      <c r="N256" s="122"/>
      <c r="O256" s="122" t="s">
        <v>76</v>
      </c>
      <c r="P256" s="198" t="s">
        <v>38</v>
      </c>
      <c r="Q256" s="122"/>
      <c r="U256" s="123">
        <v>1</v>
      </c>
      <c r="W256" s="123">
        <f t="shared" si="4"/>
        <v>1</v>
      </c>
      <c r="X256" s="124">
        <v>2</v>
      </c>
      <c r="Y256" s="125">
        <v>2</v>
      </c>
      <c r="AD256" s="128">
        <v>6</v>
      </c>
    </row>
    <row r="257" spans="1:30" ht="16.5">
      <c r="A257" s="47" t="s">
        <v>712</v>
      </c>
      <c r="B257" s="55" t="s">
        <v>713</v>
      </c>
      <c r="C257" s="49"/>
      <c r="D257" s="50">
        <v>89</v>
      </c>
      <c r="E257" s="51">
        <v>1</v>
      </c>
      <c r="F257" s="52" t="s">
        <v>36</v>
      </c>
      <c r="G257" s="179" t="s">
        <v>81</v>
      </c>
      <c r="I257" s="133"/>
      <c r="M257" s="121" t="s">
        <v>39</v>
      </c>
      <c r="N257" s="122"/>
      <c r="O257" s="122" t="s">
        <v>76</v>
      </c>
      <c r="P257" s="198" t="s">
        <v>47</v>
      </c>
      <c r="Q257" s="122" t="s">
        <v>41</v>
      </c>
      <c r="U257" s="123">
        <v>1</v>
      </c>
      <c r="V257" s="123">
        <v>1</v>
      </c>
      <c r="W257" s="123">
        <f t="shared" si="4"/>
        <v>2</v>
      </c>
      <c r="X257" s="124">
        <v>2</v>
      </c>
      <c r="Y257" s="125">
        <v>1</v>
      </c>
      <c r="AD257" s="128" t="s">
        <v>93</v>
      </c>
    </row>
    <row r="258" spans="1:30" ht="16.5">
      <c r="A258" s="47" t="s">
        <v>714</v>
      </c>
      <c r="B258" s="55" t="s">
        <v>715</v>
      </c>
      <c r="C258" s="49"/>
      <c r="D258" s="50">
        <v>90</v>
      </c>
      <c r="E258" s="51">
        <v>1</v>
      </c>
      <c r="F258" s="52" t="s">
        <v>36</v>
      </c>
      <c r="G258" s="179" t="s">
        <v>67</v>
      </c>
      <c r="I258" s="133" t="s">
        <v>40</v>
      </c>
      <c r="N258" s="122" t="s">
        <v>40</v>
      </c>
      <c r="O258" s="122"/>
      <c r="P258" s="198" t="s">
        <v>38</v>
      </c>
      <c r="Q258" s="122"/>
      <c r="U258" s="123">
        <v>1</v>
      </c>
      <c r="W258" s="123">
        <f t="shared" si="4"/>
        <v>1</v>
      </c>
      <c r="X258" s="124">
        <v>2</v>
      </c>
      <c r="Y258" s="125">
        <v>2</v>
      </c>
      <c r="AD258" s="128" t="s">
        <v>157</v>
      </c>
    </row>
    <row r="259" spans="1:30" ht="16.5">
      <c r="A259" s="47" t="s">
        <v>716</v>
      </c>
      <c r="B259" s="55" t="s">
        <v>717</v>
      </c>
      <c r="C259" s="49"/>
      <c r="D259" s="50">
        <v>90</v>
      </c>
      <c r="E259" s="51">
        <v>3</v>
      </c>
      <c r="F259" s="52" t="s">
        <v>36</v>
      </c>
      <c r="G259" s="179" t="s">
        <v>172</v>
      </c>
      <c r="I259" s="133"/>
      <c r="J259" s="121" t="s">
        <v>76</v>
      </c>
      <c r="N259" s="122"/>
      <c r="O259" s="122" t="s">
        <v>76</v>
      </c>
      <c r="P259" s="198" t="s">
        <v>38</v>
      </c>
      <c r="Q259" s="122"/>
      <c r="U259" s="123">
        <v>1</v>
      </c>
      <c r="W259" s="123">
        <f t="shared" si="4"/>
        <v>1</v>
      </c>
      <c r="X259" s="124">
        <v>2</v>
      </c>
      <c r="Y259" s="125">
        <v>3</v>
      </c>
      <c r="AD259" s="128" t="s">
        <v>93</v>
      </c>
    </row>
    <row r="260" spans="1:30" ht="18">
      <c r="A260" s="54" t="s">
        <v>718</v>
      </c>
      <c r="B260" s="55" t="s">
        <v>719</v>
      </c>
      <c r="C260" s="49"/>
      <c r="D260" s="50">
        <v>91</v>
      </c>
      <c r="E260" s="51">
        <v>1</v>
      </c>
      <c r="F260" s="52" t="s">
        <v>36</v>
      </c>
      <c r="G260" s="182" t="s">
        <v>720</v>
      </c>
      <c r="I260" s="133"/>
      <c r="K260" s="121" t="s">
        <v>38</v>
      </c>
      <c r="N260" s="122"/>
      <c r="O260" s="122"/>
      <c r="P260" s="198" t="s">
        <v>38</v>
      </c>
      <c r="Q260" s="122"/>
      <c r="T260" s="123">
        <v>1</v>
      </c>
      <c r="W260" s="123">
        <f t="shared" si="4"/>
        <v>1</v>
      </c>
      <c r="X260" s="124">
        <v>2</v>
      </c>
      <c r="Y260" s="125">
        <v>1</v>
      </c>
      <c r="AD260" s="128" t="s">
        <v>105</v>
      </c>
    </row>
    <row r="261" spans="1:30" ht="16.5">
      <c r="A261" s="47" t="s">
        <v>721</v>
      </c>
      <c r="B261" s="55" t="s">
        <v>722</v>
      </c>
      <c r="C261" s="49"/>
      <c r="D261" s="50">
        <v>92</v>
      </c>
      <c r="E261" s="51">
        <v>1</v>
      </c>
      <c r="F261" s="52" t="s">
        <v>62</v>
      </c>
      <c r="G261" s="179" t="s">
        <v>67</v>
      </c>
      <c r="I261" s="133"/>
      <c r="K261" s="121" t="s">
        <v>47</v>
      </c>
      <c r="N261" s="122" t="s">
        <v>71</v>
      </c>
      <c r="O261" s="122" t="s">
        <v>140</v>
      </c>
      <c r="P261" s="198" t="s">
        <v>47</v>
      </c>
      <c r="Q261" s="122"/>
      <c r="R261" s="123">
        <v>1</v>
      </c>
      <c r="U261" s="123">
        <v>1</v>
      </c>
      <c r="V261" s="123">
        <v>1</v>
      </c>
      <c r="W261" s="123">
        <f t="shared" si="4"/>
        <v>3</v>
      </c>
      <c r="X261" s="124">
        <v>2</v>
      </c>
      <c r="Y261" s="125">
        <v>3</v>
      </c>
      <c r="Z261" s="126" t="s">
        <v>59</v>
      </c>
      <c r="AD261" s="128" t="s">
        <v>275</v>
      </c>
    </row>
    <row r="262" spans="1:30" ht="16.5">
      <c r="A262" s="47" t="s">
        <v>723</v>
      </c>
      <c r="B262" s="55" t="s">
        <v>724</v>
      </c>
      <c r="C262" s="49"/>
      <c r="D262" s="50">
        <v>92</v>
      </c>
      <c r="E262" s="51">
        <v>2</v>
      </c>
      <c r="F262" s="52" t="s">
        <v>62</v>
      </c>
      <c r="G262" s="179" t="s">
        <v>85</v>
      </c>
      <c r="I262" s="133"/>
      <c r="K262" s="121" t="s">
        <v>47</v>
      </c>
      <c r="N262" s="122"/>
      <c r="O262" s="122" t="s">
        <v>57</v>
      </c>
      <c r="P262" s="198" t="s">
        <v>47</v>
      </c>
      <c r="Q262" s="122"/>
      <c r="W262" s="123">
        <f t="shared" si="4"/>
        <v>0</v>
      </c>
      <c r="X262" s="124">
        <v>2</v>
      </c>
      <c r="Y262" s="125">
        <v>3</v>
      </c>
      <c r="Z262" s="126" t="s">
        <v>59</v>
      </c>
      <c r="AD262" s="128">
        <v>6</v>
      </c>
    </row>
    <row r="263" spans="1:30" ht="16.5">
      <c r="A263" s="47" t="s">
        <v>725</v>
      </c>
      <c r="B263" s="55" t="s">
        <v>726</v>
      </c>
      <c r="C263" s="49"/>
      <c r="D263" s="50">
        <v>92</v>
      </c>
      <c r="E263" s="51">
        <v>3</v>
      </c>
      <c r="F263" s="52" t="s">
        <v>62</v>
      </c>
      <c r="G263" s="179" t="s">
        <v>37</v>
      </c>
      <c r="I263" s="133"/>
      <c r="M263" s="121" t="s">
        <v>39</v>
      </c>
      <c r="N263" s="122"/>
      <c r="O263" s="122" t="s">
        <v>76</v>
      </c>
      <c r="P263" s="198" t="s">
        <v>47</v>
      </c>
      <c r="Q263" s="122"/>
      <c r="R263" s="123">
        <v>1</v>
      </c>
      <c r="U263" s="123">
        <v>1</v>
      </c>
      <c r="V263" s="123">
        <v>1</v>
      </c>
      <c r="W263" s="123">
        <f t="shared" ref="W263:W326" si="5">SUM(R263:V263)</f>
        <v>3</v>
      </c>
      <c r="X263" s="124">
        <v>5</v>
      </c>
      <c r="Y263" s="125">
        <v>3</v>
      </c>
      <c r="AD263" s="128" t="s">
        <v>253</v>
      </c>
    </row>
    <row r="264" spans="1:30" ht="16.5">
      <c r="A264" s="47" t="s">
        <v>727</v>
      </c>
      <c r="B264" s="55" t="s">
        <v>728</v>
      </c>
      <c r="C264" s="49"/>
      <c r="D264" s="50">
        <v>92</v>
      </c>
      <c r="E264" s="51">
        <v>4</v>
      </c>
      <c r="F264" s="52" t="s">
        <v>62</v>
      </c>
      <c r="G264" s="179" t="s">
        <v>81</v>
      </c>
      <c r="I264" s="133"/>
      <c r="K264" s="121" t="s">
        <v>47</v>
      </c>
      <c r="N264" s="122"/>
      <c r="O264" s="122" t="s">
        <v>76</v>
      </c>
      <c r="P264" s="198" t="s">
        <v>47</v>
      </c>
      <c r="Q264" s="122" t="s">
        <v>342</v>
      </c>
      <c r="W264" s="123">
        <f t="shared" si="5"/>
        <v>0</v>
      </c>
      <c r="X264" s="124">
        <v>1</v>
      </c>
      <c r="Y264" s="125">
        <v>3</v>
      </c>
      <c r="AA264" s="127" t="s">
        <v>113</v>
      </c>
    </row>
    <row r="265" spans="1:30" ht="16.5">
      <c r="A265" s="47" t="s">
        <v>729</v>
      </c>
      <c r="B265" s="55" t="s">
        <v>730</v>
      </c>
      <c r="C265" s="49"/>
      <c r="D265" s="50">
        <v>92</v>
      </c>
      <c r="E265" s="51">
        <v>5</v>
      </c>
      <c r="F265" s="52" t="s">
        <v>62</v>
      </c>
      <c r="G265" s="179" t="s">
        <v>172</v>
      </c>
      <c r="I265" s="133"/>
      <c r="M265" s="121" t="s">
        <v>39</v>
      </c>
      <c r="N265" s="122"/>
      <c r="O265" s="122" t="s">
        <v>76</v>
      </c>
      <c r="P265" s="198" t="s">
        <v>38</v>
      </c>
      <c r="Q265" s="122"/>
      <c r="T265" s="123">
        <v>1</v>
      </c>
      <c r="U265" s="123">
        <v>1</v>
      </c>
      <c r="V265" s="123">
        <v>1</v>
      </c>
      <c r="W265" s="123">
        <f t="shared" si="5"/>
        <v>3</v>
      </c>
      <c r="X265" s="124">
        <v>2</v>
      </c>
      <c r="Y265" s="125">
        <v>3</v>
      </c>
      <c r="AD265" s="128" t="s">
        <v>82</v>
      </c>
    </row>
    <row r="266" spans="1:30" ht="16.5">
      <c r="A266" s="47" t="s">
        <v>731</v>
      </c>
      <c r="B266" s="55" t="s">
        <v>732</v>
      </c>
      <c r="C266" s="49"/>
      <c r="D266" s="50">
        <v>92</v>
      </c>
      <c r="E266" s="51">
        <v>6</v>
      </c>
      <c r="F266" s="52" t="s">
        <v>62</v>
      </c>
      <c r="G266" s="179" t="s">
        <v>37</v>
      </c>
      <c r="I266" s="133"/>
      <c r="J266" s="121" t="s">
        <v>76</v>
      </c>
      <c r="M266" s="121" t="s">
        <v>39</v>
      </c>
      <c r="N266" s="122"/>
      <c r="O266" s="122" t="s">
        <v>76</v>
      </c>
      <c r="P266" s="198" t="s">
        <v>47</v>
      </c>
      <c r="Q266" s="122" t="s">
        <v>41</v>
      </c>
      <c r="R266" s="123">
        <v>1</v>
      </c>
      <c r="U266" s="123">
        <v>1</v>
      </c>
      <c r="W266" s="123">
        <f t="shared" si="5"/>
        <v>2</v>
      </c>
      <c r="X266" s="124">
        <v>2</v>
      </c>
      <c r="Y266" s="125" t="s">
        <v>224</v>
      </c>
      <c r="AD266" s="128" t="s">
        <v>72</v>
      </c>
    </row>
    <row r="267" spans="1:30" ht="16.5">
      <c r="A267" s="47" t="s">
        <v>733</v>
      </c>
      <c r="B267" s="55" t="s">
        <v>734</v>
      </c>
      <c r="C267" s="49"/>
      <c r="D267" s="50">
        <v>93</v>
      </c>
      <c r="E267" s="51">
        <v>1</v>
      </c>
      <c r="F267" s="52" t="s">
        <v>62</v>
      </c>
      <c r="G267" s="179" t="s">
        <v>172</v>
      </c>
      <c r="I267" s="133"/>
      <c r="M267" s="121" t="s">
        <v>39</v>
      </c>
      <c r="N267" s="122"/>
      <c r="O267" s="122" t="s">
        <v>76</v>
      </c>
      <c r="P267" s="198" t="s">
        <v>38</v>
      </c>
      <c r="Q267" s="122"/>
      <c r="U267" s="123">
        <v>1</v>
      </c>
      <c r="V267" s="123">
        <v>1</v>
      </c>
      <c r="W267" s="123">
        <f t="shared" si="5"/>
        <v>2</v>
      </c>
      <c r="X267" s="124">
        <v>2</v>
      </c>
      <c r="Y267" s="125">
        <v>2</v>
      </c>
      <c r="AD267" s="128" t="s">
        <v>105</v>
      </c>
    </row>
    <row r="268" spans="1:30" ht="16.5">
      <c r="A268" s="47" t="s">
        <v>735</v>
      </c>
      <c r="B268" s="55" t="s">
        <v>736</v>
      </c>
      <c r="C268" s="49"/>
      <c r="D268" s="50">
        <v>93</v>
      </c>
      <c r="E268" s="51">
        <v>2</v>
      </c>
      <c r="F268" s="52" t="s">
        <v>62</v>
      </c>
      <c r="G268" s="179" t="s">
        <v>37</v>
      </c>
      <c r="I268" s="133"/>
      <c r="J268" s="121" t="s">
        <v>76</v>
      </c>
      <c r="M268" s="121" t="s">
        <v>39</v>
      </c>
      <c r="N268" s="122" t="s">
        <v>40</v>
      </c>
      <c r="O268" s="122" t="s">
        <v>76</v>
      </c>
      <c r="P268" s="198" t="s">
        <v>47</v>
      </c>
      <c r="Q268" s="122"/>
      <c r="S268" s="123">
        <v>1</v>
      </c>
      <c r="U268" s="123">
        <v>1</v>
      </c>
      <c r="W268" s="123">
        <f t="shared" si="5"/>
        <v>2</v>
      </c>
      <c r="X268" s="124">
        <v>3</v>
      </c>
      <c r="Y268" s="125" t="s">
        <v>213</v>
      </c>
      <c r="AC268" s="127" t="s">
        <v>202</v>
      </c>
      <c r="AD268" s="128" t="s">
        <v>68</v>
      </c>
    </row>
    <row r="269" spans="1:30" ht="16.5">
      <c r="A269" s="47" t="s">
        <v>737</v>
      </c>
      <c r="B269" s="55" t="s">
        <v>738</v>
      </c>
      <c r="C269" s="49"/>
      <c r="D269" s="50">
        <v>93</v>
      </c>
      <c r="E269" s="51">
        <v>3</v>
      </c>
      <c r="F269" s="52" t="s">
        <v>62</v>
      </c>
      <c r="G269" s="179" t="s">
        <v>85</v>
      </c>
      <c r="I269" s="133"/>
      <c r="K269" s="121" t="s">
        <v>47</v>
      </c>
      <c r="N269" s="122"/>
      <c r="O269" s="122" t="s">
        <v>76</v>
      </c>
      <c r="P269" s="198" t="s">
        <v>47</v>
      </c>
      <c r="Q269" s="122"/>
      <c r="U269" s="123">
        <v>1</v>
      </c>
      <c r="V269" s="123">
        <v>1</v>
      </c>
      <c r="W269" s="123">
        <f t="shared" si="5"/>
        <v>2</v>
      </c>
      <c r="X269" s="124">
        <v>2</v>
      </c>
      <c r="Y269" s="125">
        <v>3</v>
      </c>
      <c r="AD269" s="128" t="s">
        <v>137</v>
      </c>
    </row>
    <row r="270" spans="1:30" ht="16.5">
      <c r="A270" s="47" t="s">
        <v>739</v>
      </c>
      <c r="B270" s="55" t="s">
        <v>740</v>
      </c>
      <c r="C270" s="49"/>
      <c r="D270" s="50">
        <v>94</v>
      </c>
      <c r="E270" s="51">
        <v>1</v>
      </c>
      <c r="F270" s="52" t="s">
        <v>62</v>
      </c>
      <c r="G270" s="179" t="s">
        <v>81</v>
      </c>
      <c r="I270" s="133"/>
      <c r="K270" s="121" t="s">
        <v>47</v>
      </c>
      <c r="N270" s="122"/>
      <c r="O270" s="122"/>
      <c r="P270" s="198" t="s">
        <v>47</v>
      </c>
      <c r="Q270" s="122"/>
      <c r="R270" s="123">
        <v>1</v>
      </c>
      <c r="U270" s="123">
        <v>1</v>
      </c>
      <c r="V270" s="123">
        <v>1</v>
      </c>
      <c r="W270" s="123">
        <f t="shared" si="5"/>
        <v>3</v>
      </c>
      <c r="X270" s="124">
        <v>2</v>
      </c>
      <c r="Y270" s="125">
        <v>3</v>
      </c>
      <c r="AD270" s="128" t="s">
        <v>157</v>
      </c>
    </row>
    <row r="271" spans="1:30" ht="16.5">
      <c r="A271" s="47" t="s">
        <v>741</v>
      </c>
      <c r="B271" s="55" t="s">
        <v>742</v>
      </c>
      <c r="C271" s="49"/>
      <c r="D271" s="50">
        <v>94</v>
      </c>
      <c r="E271" s="51">
        <v>2</v>
      </c>
      <c r="F271" s="52" t="s">
        <v>62</v>
      </c>
      <c r="G271" s="179" t="s">
        <v>176</v>
      </c>
      <c r="I271" s="133"/>
      <c r="K271" s="121" t="s">
        <v>47</v>
      </c>
      <c r="N271" s="122" t="s">
        <v>71</v>
      </c>
      <c r="O271" s="122"/>
      <c r="P271" s="198" t="s">
        <v>47</v>
      </c>
      <c r="Q271" s="122"/>
      <c r="R271" s="123">
        <v>1</v>
      </c>
      <c r="W271" s="123">
        <f t="shared" si="5"/>
        <v>1</v>
      </c>
      <c r="X271" s="124">
        <v>1</v>
      </c>
      <c r="Y271" s="125">
        <v>3</v>
      </c>
    </row>
    <row r="272" spans="1:30" ht="18">
      <c r="A272" s="54" t="s">
        <v>743</v>
      </c>
      <c r="B272" s="55" t="s">
        <v>744</v>
      </c>
      <c r="C272" s="49"/>
      <c r="D272" s="50">
        <v>94</v>
      </c>
      <c r="E272" s="51">
        <v>3</v>
      </c>
      <c r="F272" s="52" t="s">
        <v>62</v>
      </c>
      <c r="G272" s="181" t="s">
        <v>745</v>
      </c>
      <c r="I272" s="133"/>
      <c r="K272" s="121" t="s">
        <v>38</v>
      </c>
      <c r="N272" s="122"/>
      <c r="O272" s="122" t="s">
        <v>76</v>
      </c>
      <c r="P272" s="198" t="s">
        <v>38</v>
      </c>
      <c r="Q272" s="122"/>
      <c r="U272" s="123">
        <v>1</v>
      </c>
      <c r="W272" s="123">
        <f t="shared" si="5"/>
        <v>1</v>
      </c>
      <c r="X272" s="124">
        <v>3</v>
      </c>
      <c r="Y272" s="125">
        <v>1</v>
      </c>
      <c r="AD272" s="128" t="s">
        <v>746</v>
      </c>
    </row>
    <row r="273" spans="1:30" ht="16.5">
      <c r="A273" s="47" t="s">
        <v>747</v>
      </c>
      <c r="B273" s="55" t="s">
        <v>748</v>
      </c>
      <c r="C273" s="49" t="s">
        <v>749</v>
      </c>
      <c r="D273" s="50">
        <v>94</v>
      </c>
      <c r="E273" s="51">
        <v>4</v>
      </c>
      <c r="F273" s="52" t="s">
        <v>62</v>
      </c>
      <c r="G273" s="179" t="s">
        <v>172</v>
      </c>
      <c r="H273" s="53" t="s">
        <v>750</v>
      </c>
      <c r="I273" s="133"/>
      <c r="K273" s="121" t="s">
        <v>38</v>
      </c>
      <c r="N273" s="122" t="s">
        <v>53</v>
      </c>
      <c r="O273" s="122"/>
      <c r="P273" s="198" t="s">
        <v>38</v>
      </c>
      <c r="Q273" s="122"/>
      <c r="T273" s="123">
        <v>1</v>
      </c>
      <c r="V273" s="123">
        <v>1</v>
      </c>
      <c r="W273" s="123">
        <f t="shared" si="5"/>
        <v>2</v>
      </c>
      <c r="X273" s="124">
        <v>2</v>
      </c>
      <c r="Y273" s="125">
        <v>2</v>
      </c>
      <c r="AD273" s="128">
        <v>6</v>
      </c>
    </row>
    <row r="274" spans="1:30" ht="18">
      <c r="A274" s="47" t="s">
        <v>751</v>
      </c>
      <c r="B274" s="55" t="s">
        <v>752</v>
      </c>
      <c r="C274" s="49"/>
      <c r="D274" s="50">
        <v>94</v>
      </c>
      <c r="E274" s="51">
        <v>5</v>
      </c>
      <c r="F274" s="52" t="s">
        <v>62</v>
      </c>
      <c r="G274" s="179" t="s">
        <v>753</v>
      </c>
      <c r="I274" s="133"/>
      <c r="K274" s="121" t="s">
        <v>38</v>
      </c>
      <c r="N274" s="122" t="s">
        <v>40</v>
      </c>
      <c r="O274" s="122"/>
      <c r="P274" s="198" t="s">
        <v>38</v>
      </c>
      <c r="Q274" s="122" t="s">
        <v>41</v>
      </c>
      <c r="W274" s="123">
        <f t="shared" si="5"/>
        <v>0</v>
      </c>
      <c r="X274" s="124">
        <v>2</v>
      </c>
      <c r="Y274" s="125">
        <v>2</v>
      </c>
      <c r="AD274" s="128" t="s">
        <v>141</v>
      </c>
    </row>
    <row r="275" spans="1:30" ht="18">
      <c r="A275" s="47" t="s">
        <v>754</v>
      </c>
      <c r="B275" s="55" t="s">
        <v>755</v>
      </c>
      <c r="C275" s="49"/>
      <c r="D275" s="50">
        <v>94</v>
      </c>
      <c r="E275" s="51">
        <v>6</v>
      </c>
      <c r="F275" s="52" t="s">
        <v>62</v>
      </c>
      <c r="G275" s="179" t="s">
        <v>756</v>
      </c>
      <c r="I275" s="133"/>
      <c r="L275" s="121" t="s">
        <v>112</v>
      </c>
      <c r="N275" s="122"/>
      <c r="O275" s="122" t="s">
        <v>76</v>
      </c>
      <c r="P275" s="198"/>
      <c r="Q275" s="122" t="s">
        <v>112</v>
      </c>
      <c r="T275" s="123">
        <v>1</v>
      </c>
      <c r="U275" s="123">
        <v>1</v>
      </c>
      <c r="W275" s="123">
        <f t="shared" si="5"/>
        <v>2</v>
      </c>
      <c r="X275" s="124">
        <v>3</v>
      </c>
      <c r="Y275" s="125">
        <v>5</v>
      </c>
      <c r="AA275" s="127" t="s">
        <v>113</v>
      </c>
      <c r="AD275" s="128" t="s">
        <v>757</v>
      </c>
    </row>
    <row r="276" spans="1:30" ht="16.5">
      <c r="A276" s="47" t="s">
        <v>758</v>
      </c>
      <c r="B276" s="55" t="s">
        <v>759</v>
      </c>
      <c r="C276" s="49"/>
      <c r="D276" s="50">
        <v>95</v>
      </c>
      <c r="E276" s="51">
        <v>1</v>
      </c>
      <c r="F276" s="52" t="s">
        <v>62</v>
      </c>
      <c r="G276" s="179" t="s">
        <v>67</v>
      </c>
      <c r="I276" s="133"/>
      <c r="K276" s="121" t="s">
        <v>47</v>
      </c>
      <c r="N276" s="122" t="s">
        <v>71</v>
      </c>
      <c r="O276" s="122" t="s">
        <v>760</v>
      </c>
      <c r="P276" s="198" t="s">
        <v>47</v>
      </c>
      <c r="Q276" s="122" t="s">
        <v>41</v>
      </c>
      <c r="R276" s="123">
        <v>1</v>
      </c>
      <c r="S276" s="123">
        <v>1</v>
      </c>
      <c r="U276" s="123">
        <v>1</v>
      </c>
      <c r="W276" s="123">
        <f t="shared" si="5"/>
        <v>3</v>
      </c>
      <c r="X276" s="124">
        <v>3</v>
      </c>
      <c r="Y276" s="125">
        <v>5</v>
      </c>
      <c r="AD276" s="128" t="s">
        <v>564</v>
      </c>
    </row>
    <row r="277" spans="1:30" ht="16.5">
      <c r="A277" s="47" t="s">
        <v>761</v>
      </c>
      <c r="B277" s="55" t="s">
        <v>762</v>
      </c>
      <c r="C277" s="49"/>
      <c r="D277" s="50">
        <v>96</v>
      </c>
      <c r="E277" s="51">
        <v>1</v>
      </c>
      <c r="F277" s="52" t="s">
        <v>62</v>
      </c>
      <c r="G277" s="179" t="s">
        <v>67</v>
      </c>
      <c r="I277" s="133"/>
      <c r="M277" s="121" t="s">
        <v>39</v>
      </c>
      <c r="N277" s="122" t="s">
        <v>40</v>
      </c>
      <c r="O277" s="122" t="s">
        <v>76</v>
      </c>
      <c r="P277" s="198" t="s">
        <v>47</v>
      </c>
      <c r="Q277" s="122"/>
      <c r="S277" s="123">
        <v>1</v>
      </c>
      <c r="U277" s="123">
        <v>1</v>
      </c>
      <c r="W277" s="123">
        <f t="shared" si="5"/>
        <v>2</v>
      </c>
      <c r="X277" s="124">
        <v>5</v>
      </c>
      <c r="Y277" s="125">
        <v>3</v>
      </c>
      <c r="AD277" s="128" t="s">
        <v>214</v>
      </c>
    </row>
    <row r="278" spans="1:30" ht="16.5">
      <c r="A278" s="47" t="s">
        <v>763</v>
      </c>
      <c r="B278" s="55" t="s">
        <v>764</v>
      </c>
      <c r="C278" s="49" t="s">
        <v>765</v>
      </c>
      <c r="D278" s="50">
        <v>96</v>
      </c>
      <c r="E278" s="51">
        <v>2</v>
      </c>
      <c r="F278" s="52" t="s">
        <v>62</v>
      </c>
      <c r="G278" s="179" t="s">
        <v>92</v>
      </c>
      <c r="H278" s="53" t="s">
        <v>766</v>
      </c>
      <c r="I278" s="133"/>
      <c r="J278" s="121" t="s">
        <v>76</v>
      </c>
      <c r="N278" s="122" t="s">
        <v>40</v>
      </c>
      <c r="O278" s="122" t="s">
        <v>76</v>
      </c>
      <c r="P278" s="198" t="s">
        <v>96</v>
      </c>
      <c r="Q278" s="122"/>
      <c r="W278" s="123">
        <f t="shared" si="5"/>
        <v>0</v>
      </c>
      <c r="X278" s="124">
        <v>2</v>
      </c>
      <c r="Y278" s="125">
        <v>1</v>
      </c>
      <c r="AD278" s="128" t="s">
        <v>767</v>
      </c>
    </row>
    <row r="279" spans="1:30" ht="16.5">
      <c r="A279" s="47" t="s">
        <v>768</v>
      </c>
      <c r="B279" s="55" t="s">
        <v>769</v>
      </c>
      <c r="C279" s="49"/>
      <c r="D279" s="50">
        <v>97</v>
      </c>
      <c r="E279" s="51">
        <v>1</v>
      </c>
      <c r="F279" s="52" t="s">
        <v>62</v>
      </c>
      <c r="G279" s="179" t="s">
        <v>176</v>
      </c>
      <c r="I279" s="133"/>
      <c r="K279" s="121" t="s">
        <v>47</v>
      </c>
      <c r="N279" s="122" t="s">
        <v>40</v>
      </c>
      <c r="O279" s="122" t="s">
        <v>76</v>
      </c>
      <c r="P279" s="198" t="s">
        <v>47</v>
      </c>
      <c r="Q279" s="122"/>
      <c r="W279" s="123">
        <f t="shared" si="5"/>
        <v>0</v>
      </c>
      <c r="X279" s="124">
        <v>3</v>
      </c>
      <c r="Y279" s="125">
        <v>3</v>
      </c>
      <c r="AD279" s="128">
        <v>2</v>
      </c>
    </row>
    <row r="280" spans="1:30" ht="16.5">
      <c r="A280" s="47" t="s">
        <v>770</v>
      </c>
      <c r="B280" s="55" t="s">
        <v>771</v>
      </c>
      <c r="C280" s="49"/>
      <c r="D280" s="50">
        <v>97</v>
      </c>
      <c r="E280" s="51">
        <v>2</v>
      </c>
      <c r="F280" s="52" t="s">
        <v>62</v>
      </c>
      <c r="G280" s="179" t="s">
        <v>67</v>
      </c>
      <c r="I280" s="133"/>
      <c r="K280" s="121" t="s">
        <v>47</v>
      </c>
      <c r="M280" s="121" t="s">
        <v>39</v>
      </c>
      <c r="N280" s="122" t="s">
        <v>71</v>
      </c>
      <c r="O280" s="122" t="s">
        <v>76</v>
      </c>
      <c r="P280" s="198" t="s">
        <v>47</v>
      </c>
      <c r="Q280" s="122"/>
      <c r="T280" s="123">
        <v>1</v>
      </c>
      <c r="U280" s="123">
        <v>1</v>
      </c>
      <c r="W280" s="123">
        <f t="shared" si="5"/>
        <v>2</v>
      </c>
      <c r="X280" s="124">
        <v>3</v>
      </c>
      <c r="Y280" s="125" t="s">
        <v>772</v>
      </c>
      <c r="AD280" s="128">
        <v>1</v>
      </c>
    </row>
    <row r="281" spans="1:30" ht="16.5">
      <c r="A281" s="47" t="s">
        <v>773</v>
      </c>
      <c r="B281" s="55" t="s">
        <v>774</v>
      </c>
      <c r="C281" s="49"/>
      <c r="D281" s="50">
        <v>97</v>
      </c>
      <c r="E281" s="51">
        <v>3</v>
      </c>
      <c r="F281" s="52" t="s">
        <v>62</v>
      </c>
      <c r="G281" s="179" t="s">
        <v>67</v>
      </c>
      <c r="I281" s="133"/>
      <c r="K281" s="121" t="s">
        <v>47</v>
      </c>
      <c r="N281" s="122"/>
      <c r="O281" s="122" t="s">
        <v>76</v>
      </c>
      <c r="P281" s="198" t="s">
        <v>47</v>
      </c>
      <c r="Q281" s="122"/>
      <c r="R281" s="123">
        <v>1</v>
      </c>
      <c r="T281" s="123">
        <v>1</v>
      </c>
      <c r="U281" s="123">
        <v>1</v>
      </c>
      <c r="W281" s="123">
        <f t="shared" si="5"/>
        <v>3</v>
      </c>
      <c r="X281" s="124">
        <v>5</v>
      </c>
      <c r="Y281" s="125">
        <v>5</v>
      </c>
      <c r="AD281" s="128" t="s">
        <v>245</v>
      </c>
    </row>
    <row r="282" spans="1:30" ht="18">
      <c r="A282" s="47" t="s">
        <v>775</v>
      </c>
      <c r="B282" s="55" t="s">
        <v>776</v>
      </c>
      <c r="C282" s="49"/>
      <c r="D282" s="50">
        <v>97</v>
      </c>
      <c r="E282" s="51">
        <v>4</v>
      </c>
      <c r="F282" s="52" t="s">
        <v>62</v>
      </c>
      <c r="G282" s="179" t="s">
        <v>777</v>
      </c>
      <c r="I282" s="133"/>
      <c r="K282" s="121" t="s">
        <v>38</v>
      </c>
      <c r="N282" s="122"/>
      <c r="O282" s="122"/>
      <c r="P282" s="198" t="s">
        <v>38</v>
      </c>
      <c r="Q282" s="122" t="s">
        <v>41</v>
      </c>
      <c r="V282" s="123">
        <v>1</v>
      </c>
      <c r="W282" s="123">
        <f t="shared" si="5"/>
        <v>1</v>
      </c>
      <c r="X282" s="124">
        <v>2</v>
      </c>
      <c r="Y282" s="125">
        <v>4</v>
      </c>
      <c r="AD282" s="128" t="s">
        <v>151</v>
      </c>
    </row>
    <row r="283" spans="1:30" ht="16.5">
      <c r="A283" s="47" t="s">
        <v>778</v>
      </c>
      <c r="B283" s="55" t="s">
        <v>779</v>
      </c>
      <c r="C283" s="49"/>
      <c r="D283" s="50">
        <v>98</v>
      </c>
      <c r="E283" s="51">
        <v>1</v>
      </c>
      <c r="F283" s="52" t="s">
        <v>62</v>
      </c>
      <c r="G283" s="179" t="s">
        <v>412</v>
      </c>
      <c r="I283" s="133"/>
      <c r="K283" s="121" t="s">
        <v>47</v>
      </c>
      <c r="N283" s="122" t="s">
        <v>40</v>
      </c>
      <c r="O283" s="122" t="s">
        <v>76</v>
      </c>
      <c r="P283" s="198" t="s">
        <v>47</v>
      </c>
      <c r="Q283" s="122"/>
      <c r="W283" s="123">
        <f t="shared" si="5"/>
        <v>0</v>
      </c>
      <c r="X283" s="124">
        <v>5</v>
      </c>
      <c r="Y283" s="125">
        <v>3</v>
      </c>
      <c r="AD283" s="128" t="s">
        <v>181</v>
      </c>
    </row>
    <row r="284" spans="1:30" ht="18">
      <c r="A284" s="47" t="s">
        <v>780</v>
      </c>
      <c r="B284" s="55" t="s">
        <v>781</v>
      </c>
      <c r="C284" s="49"/>
      <c r="D284" s="50">
        <v>98</v>
      </c>
      <c r="E284" s="51">
        <v>2</v>
      </c>
      <c r="F284" s="52" t="s">
        <v>62</v>
      </c>
      <c r="G284" s="179" t="s">
        <v>782</v>
      </c>
      <c r="I284" s="133"/>
      <c r="K284" s="121" t="s">
        <v>47</v>
      </c>
      <c r="N284" s="122"/>
      <c r="O284" s="122"/>
      <c r="P284" s="198" t="s">
        <v>96</v>
      </c>
      <c r="Q284" s="122"/>
      <c r="W284" s="123">
        <f t="shared" si="5"/>
        <v>0</v>
      </c>
      <c r="X284" s="124">
        <v>2</v>
      </c>
      <c r="Y284" s="125">
        <v>5</v>
      </c>
      <c r="AD284" s="128" t="s">
        <v>105</v>
      </c>
    </row>
    <row r="285" spans="1:30" ht="16.5">
      <c r="A285" s="47" t="s">
        <v>783</v>
      </c>
      <c r="B285" s="55" t="s">
        <v>784</v>
      </c>
      <c r="C285" s="49"/>
      <c r="D285" s="50">
        <v>98</v>
      </c>
      <c r="E285" s="51">
        <v>3</v>
      </c>
      <c r="F285" s="52" t="s">
        <v>62</v>
      </c>
      <c r="G285" s="179" t="s">
        <v>46</v>
      </c>
      <c r="I285" s="133"/>
      <c r="K285" s="121" t="s">
        <v>47</v>
      </c>
      <c r="N285" s="122"/>
      <c r="O285" s="122" t="s">
        <v>76</v>
      </c>
      <c r="P285" s="198" t="s">
        <v>47</v>
      </c>
      <c r="Q285" s="122"/>
      <c r="W285" s="123">
        <f t="shared" si="5"/>
        <v>0</v>
      </c>
      <c r="X285" s="124">
        <v>2</v>
      </c>
      <c r="Y285" s="125">
        <v>5</v>
      </c>
      <c r="AD285" s="128" t="s">
        <v>288</v>
      </c>
    </row>
    <row r="286" spans="1:30" ht="16.5">
      <c r="A286" s="47" t="s">
        <v>785</v>
      </c>
      <c r="B286" s="55" t="s">
        <v>786</v>
      </c>
      <c r="C286" s="49"/>
      <c r="D286" s="50">
        <v>98</v>
      </c>
      <c r="E286" s="51">
        <v>4</v>
      </c>
      <c r="F286" s="52" t="s">
        <v>62</v>
      </c>
      <c r="G286" s="179" t="s">
        <v>81</v>
      </c>
      <c r="I286" s="133"/>
      <c r="M286" s="121" t="s">
        <v>39</v>
      </c>
      <c r="N286" s="122" t="s">
        <v>40</v>
      </c>
      <c r="O286" s="122" t="s">
        <v>76</v>
      </c>
      <c r="P286" s="198" t="s">
        <v>47</v>
      </c>
      <c r="Q286" s="122"/>
      <c r="U286" s="123">
        <v>1</v>
      </c>
      <c r="V286" s="123">
        <v>1</v>
      </c>
      <c r="W286" s="123">
        <f t="shared" si="5"/>
        <v>2</v>
      </c>
      <c r="X286" s="124">
        <v>2</v>
      </c>
      <c r="Y286" s="125">
        <v>3</v>
      </c>
      <c r="AD286" s="128" t="s">
        <v>157</v>
      </c>
    </row>
    <row r="287" spans="1:30" ht="16.5">
      <c r="A287" s="47" t="s">
        <v>787</v>
      </c>
      <c r="B287" s="55" t="s">
        <v>788</v>
      </c>
      <c r="C287" s="49"/>
      <c r="D287" s="50">
        <v>98</v>
      </c>
      <c r="E287" s="51">
        <v>5</v>
      </c>
      <c r="F287" s="52" t="s">
        <v>62</v>
      </c>
      <c r="G287" s="179" t="s">
        <v>81</v>
      </c>
      <c r="I287" s="133"/>
      <c r="K287" s="121" t="s">
        <v>47</v>
      </c>
      <c r="N287" s="122" t="s">
        <v>71</v>
      </c>
      <c r="O287" s="122"/>
      <c r="P287" s="198" t="s">
        <v>47</v>
      </c>
      <c r="Q287" s="122" t="s">
        <v>41</v>
      </c>
      <c r="R287" s="123">
        <v>1</v>
      </c>
      <c r="V287" s="123">
        <v>1</v>
      </c>
      <c r="W287" s="123">
        <f t="shared" si="5"/>
        <v>2</v>
      </c>
      <c r="X287" s="124">
        <v>1</v>
      </c>
      <c r="Y287" s="125">
        <v>3</v>
      </c>
      <c r="AD287" s="128">
        <v>1</v>
      </c>
    </row>
    <row r="288" spans="1:30" ht="16.5">
      <c r="A288" s="47" t="s">
        <v>789</v>
      </c>
      <c r="B288" s="55" t="s">
        <v>790</v>
      </c>
      <c r="C288" s="49"/>
      <c r="D288" s="50">
        <v>99</v>
      </c>
      <c r="E288" s="51">
        <v>1</v>
      </c>
      <c r="F288" s="52" t="s">
        <v>36</v>
      </c>
      <c r="G288" s="179" t="s">
        <v>111</v>
      </c>
      <c r="I288" s="133"/>
      <c r="M288" s="121" t="s">
        <v>39</v>
      </c>
      <c r="N288" s="122"/>
      <c r="O288" s="122" t="s">
        <v>76</v>
      </c>
      <c r="P288" s="198" t="s">
        <v>96</v>
      </c>
      <c r="Q288" s="122"/>
      <c r="T288" s="123">
        <v>1</v>
      </c>
      <c r="U288" s="123">
        <v>1</v>
      </c>
      <c r="V288" s="123">
        <v>1</v>
      </c>
      <c r="W288" s="123">
        <f t="shared" si="5"/>
        <v>3</v>
      </c>
      <c r="X288" s="124">
        <v>1</v>
      </c>
      <c r="Y288" s="125">
        <v>4</v>
      </c>
      <c r="AD288" s="128" t="s">
        <v>144</v>
      </c>
    </row>
    <row r="289" spans="1:30" ht="16.5">
      <c r="A289" s="47" t="s">
        <v>791</v>
      </c>
      <c r="B289" s="55" t="s">
        <v>792</v>
      </c>
      <c r="C289" s="49"/>
      <c r="D289" s="50">
        <v>99</v>
      </c>
      <c r="E289" s="51">
        <v>3</v>
      </c>
      <c r="F289" s="52" t="s">
        <v>36</v>
      </c>
      <c r="G289" s="179" t="s">
        <v>81</v>
      </c>
      <c r="I289" s="133"/>
      <c r="K289" s="121" t="s">
        <v>38</v>
      </c>
      <c r="N289" s="122"/>
      <c r="O289" s="122" t="s">
        <v>76</v>
      </c>
      <c r="P289" s="198" t="s">
        <v>38</v>
      </c>
      <c r="Q289" s="122" t="s">
        <v>41</v>
      </c>
      <c r="R289" s="123">
        <v>1</v>
      </c>
      <c r="W289" s="123">
        <f t="shared" si="5"/>
        <v>1</v>
      </c>
      <c r="X289" s="124">
        <v>2</v>
      </c>
      <c r="Y289" s="125">
        <v>1</v>
      </c>
      <c r="AD289" s="128" t="s">
        <v>380</v>
      </c>
    </row>
    <row r="290" spans="1:30" ht="16.5">
      <c r="A290" s="47" t="s">
        <v>793</v>
      </c>
      <c r="B290" s="55" t="s">
        <v>794</v>
      </c>
      <c r="C290" s="49"/>
      <c r="D290" s="50">
        <v>99</v>
      </c>
      <c r="E290" s="51">
        <v>5</v>
      </c>
      <c r="F290" s="52" t="s">
        <v>36</v>
      </c>
      <c r="G290" s="179" t="s">
        <v>85</v>
      </c>
      <c r="I290" s="133"/>
      <c r="L290" s="121" t="s">
        <v>41</v>
      </c>
      <c r="N290" s="122"/>
      <c r="O290" s="122"/>
      <c r="P290" s="198" t="s">
        <v>38</v>
      </c>
      <c r="Q290" s="122" t="s">
        <v>342</v>
      </c>
      <c r="R290" s="123">
        <v>1</v>
      </c>
      <c r="V290" s="123">
        <v>1</v>
      </c>
      <c r="W290" s="123">
        <f t="shared" si="5"/>
        <v>2</v>
      </c>
      <c r="X290" s="124">
        <v>2</v>
      </c>
      <c r="Y290" s="125">
        <v>3</v>
      </c>
      <c r="AA290" s="127" t="s">
        <v>113</v>
      </c>
      <c r="AD290" s="128" t="s">
        <v>93</v>
      </c>
    </row>
    <row r="291" spans="1:30" ht="16.5">
      <c r="A291" s="47" t="s">
        <v>795</v>
      </c>
      <c r="B291" s="55" t="s">
        <v>796</v>
      </c>
      <c r="C291" s="49"/>
      <c r="D291" s="50">
        <v>100</v>
      </c>
      <c r="E291" s="51">
        <v>1</v>
      </c>
      <c r="F291" s="52" t="s">
        <v>62</v>
      </c>
      <c r="G291" s="179" t="s">
        <v>85</v>
      </c>
      <c r="I291" s="133"/>
      <c r="L291" s="121" t="s">
        <v>41</v>
      </c>
      <c r="N291" s="122"/>
      <c r="O291" s="122" t="s">
        <v>76</v>
      </c>
      <c r="P291" s="198" t="s">
        <v>47</v>
      </c>
      <c r="Q291" s="122" t="s">
        <v>41</v>
      </c>
      <c r="R291" s="123">
        <v>1</v>
      </c>
      <c r="U291" s="123">
        <v>1</v>
      </c>
      <c r="W291" s="123">
        <f t="shared" si="5"/>
        <v>2</v>
      </c>
      <c r="X291" s="124">
        <v>2</v>
      </c>
      <c r="Y291" s="125">
        <v>2</v>
      </c>
      <c r="AD291" s="128" t="s">
        <v>380</v>
      </c>
    </row>
    <row r="292" spans="1:30" ht="16.5">
      <c r="A292" s="47" t="s">
        <v>797</v>
      </c>
      <c r="B292" s="55" t="s">
        <v>798</v>
      </c>
      <c r="C292" s="49"/>
      <c r="D292" s="50">
        <v>100</v>
      </c>
      <c r="E292" s="51">
        <v>2</v>
      </c>
      <c r="F292" s="52" t="s">
        <v>62</v>
      </c>
      <c r="G292" s="179" t="s">
        <v>85</v>
      </c>
      <c r="I292" s="133"/>
      <c r="L292" s="121" t="s">
        <v>41</v>
      </c>
      <c r="N292" s="122"/>
      <c r="O292" s="122" t="s">
        <v>76</v>
      </c>
      <c r="P292" s="198" t="s">
        <v>47</v>
      </c>
      <c r="Q292" s="122" t="s">
        <v>41</v>
      </c>
      <c r="R292" s="123">
        <v>1</v>
      </c>
      <c r="U292" s="123">
        <v>1</v>
      </c>
      <c r="W292" s="123">
        <f t="shared" si="5"/>
        <v>2</v>
      </c>
      <c r="X292" s="124">
        <v>2</v>
      </c>
      <c r="Y292" s="125">
        <v>2</v>
      </c>
      <c r="AD292" s="128" t="s">
        <v>380</v>
      </c>
    </row>
    <row r="293" spans="1:30" ht="16.5">
      <c r="A293" s="47" t="s">
        <v>799</v>
      </c>
      <c r="B293" s="55" t="s">
        <v>800</v>
      </c>
      <c r="C293" s="49"/>
      <c r="D293" s="50">
        <v>101</v>
      </c>
      <c r="E293" s="51">
        <v>1</v>
      </c>
      <c r="F293" s="52" t="s">
        <v>36</v>
      </c>
      <c r="G293" s="181" t="s">
        <v>801</v>
      </c>
      <c r="I293" s="133"/>
      <c r="K293" s="121" t="s">
        <v>47</v>
      </c>
      <c r="N293" s="122" t="s">
        <v>71</v>
      </c>
      <c r="O293" s="122" t="s">
        <v>76</v>
      </c>
      <c r="P293" s="198" t="s">
        <v>47</v>
      </c>
      <c r="Q293" s="122" t="s">
        <v>41</v>
      </c>
      <c r="R293" s="123">
        <v>1</v>
      </c>
      <c r="U293" s="123">
        <v>1</v>
      </c>
      <c r="W293" s="123">
        <f t="shared" si="5"/>
        <v>2</v>
      </c>
      <c r="X293" s="124">
        <v>2</v>
      </c>
      <c r="Y293" s="125">
        <v>3</v>
      </c>
      <c r="AD293" s="128" t="s">
        <v>214</v>
      </c>
    </row>
    <row r="294" spans="1:30" ht="16.5">
      <c r="A294" s="47" t="s">
        <v>802</v>
      </c>
      <c r="B294" s="55" t="s">
        <v>803</v>
      </c>
      <c r="C294" s="49"/>
      <c r="D294" s="50">
        <v>101</v>
      </c>
      <c r="E294" s="51">
        <v>3</v>
      </c>
      <c r="F294" s="52" t="s">
        <v>36</v>
      </c>
      <c r="G294" s="179" t="s">
        <v>81</v>
      </c>
      <c r="I294" s="133"/>
      <c r="M294" s="121" t="s">
        <v>39</v>
      </c>
      <c r="N294" s="122" t="s">
        <v>40</v>
      </c>
      <c r="O294" s="122" t="s">
        <v>140</v>
      </c>
      <c r="P294" s="198" t="s">
        <v>47</v>
      </c>
      <c r="Q294" s="122" t="s">
        <v>41</v>
      </c>
      <c r="R294" s="123">
        <v>1</v>
      </c>
      <c r="U294" s="123">
        <v>1</v>
      </c>
      <c r="W294" s="123">
        <f t="shared" si="5"/>
        <v>2</v>
      </c>
      <c r="X294" s="124">
        <v>5</v>
      </c>
      <c r="Y294" s="125">
        <v>2</v>
      </c>
      <c r="Z294" s="126" t="s">
        <v>59</v>
      </c>
      <c r="AD294" s="128" t="s">
        <v>157</v>
      </c>
    </row>
    <row r="295" spans="1:30" ht="16.5">
      <c r="A295" s="47" t="s">
        <v>804</v>
      </c>
      <c r="B295" s="55" t="s">
        <v>805</v>
      </c>
      <c r="C295" s="49"/>
      <c r="D295" s="50">
        <v>101</v>
      </c>
      <c r="E295" s="51">
        <v>5</v>
      </c>
      <c r="F295" s="52" t="s">
        <v>36</v>
      </c>
      <c r="G295" s="179" t="s">
        <v>111</v>
      </c>
      <c r="I295" s="133"/>
      <c r="J295" s="135"/>
      <c r="M295" s="121" t="s">
        <v>39</v>
      </c>
      <c r="N295" s="122"/>
      <c r="O295" s="122"/>
      <c r="P295" s="198" t="s">
        <v>38</v>
      </c>
      <c r="Q295" s="122" t="s">
        <v>41</v>
      </c>
      <c r="R295" s="123">
        <v>1</v>
      </c>
      <c r="U295" s="123">
        <v>1</v>
      </c>
      <c r="V295" s="123">
        <v>1</v>
      </c>
      <c r="W295" s="123">
        <f t="shared" si="5"/>
        <v>3</v>
      </c>
      <c r="X295" s="124">
        <v>2</v>
      </c>
      <c r="Y295" s="125">
        <v>1</v>
      </c>
      <c r="AD295" s="128" t="s">
        <v>141</v>
      </c>
    </row>
    <row r="296" spans="1:30" ht="16.5">
      <c r="A296" s="47" t="s">
        <v>806</v>
      </c>
      <c r="B296" s="55" t="s">
        <v>807</v>
      </c>
      <c r="C296" s="49"/>
      <c r="D296" s="50">
        <v>102</v>
      </c>
      <c r="E296" s="51">
        <v>1</v>
      </c>
      <c r="F296" s="52" t="s">
        <v>62</v>
      </c>
      <c r="G296" s="179" t="s">
        <v>85</v>
      </c>
      <c r="I296" s="133"/>
      <c r="K296" s="121" t="s">
        <v>47</v>
      </c>
      <c r="N296" s="122" t="s">
        <v>71</v>
      </c>
      <c r="O296" s="122" t="s">
        <v>76</v>
      </c>
      <c r="P296" s="198" t="s">
        <v>47</v>
      </c>
      <c r="Q296" s="122" t="s">
        <v>41</v>
      </c>
      <c r="T296" s="123">
        <v>1</v>
      </c>
      <c r="U296" s="123">
        <v>1</v>
      </c>
      <c r="V296" s="123">
        <v>1</v>
      </c>
      <c r="W296" s="123">
        <f t="shared" si="5"/>
        <v>3</v>
      </c>
      <c r="X296" s="124">
        <v>2</v>
      </c>
      <c r="Y296" s="125">
        <v>3</v>
      </c>
      <c r="AD296" s="128" t="s">
        <v>157</v>
      </c>
    </row>
    <row r="297" spans="1:30" ht="16.5">
      <c r="A297" s="47" t="s">
        <v>808</v>
      </c>
      <c r="B297" s="55" t="s">
        <v>809</v>
      </c>
      <c r="C297" s="49"/>
      <c r="D297" s="50">
        <v>102</v>
      </c>
      <c r="E297" s="51">
        <v>2</v>
      </c>
      <c r="F297" s="52" t="s">
        <v>62</v>
      </c>
      <c r="G297" s="179" t="s">
        <v>192</v>
      </c>
      <c r="I297" s="133"/>
      <c r="M297" s="121" t="s">
        <v>39</v>
      </c>
      <c r="N297" s="122" t="s">
        <v>53</v>
      </c>
      <c r="O297" s="122" t="s">
        <v>76</v>
      </c>
      <c r="P297" s="198" t="s">
        <v>47</v>
      </c>
      <c r="Q297" s="122"/>
      <c r="R297" s="123">
        <v>1</v>
      </c>
      <c r="U297" s="123">
        <v>1</v>
      </c>
      <c r="W297" s="123">
        <f t="shared" si="5"/>
        <v>2</v>
      </c>
      <c r="X297" s="124">
        <v>2</v>
      </c>
      <c r="Y297" s="125">
        <v>3</v>
      </c>
      <c r="AD297" s="128" t="s">
        <v>214</v>
      </c>
    </row>
    <row r="298" spans="1:30" ht="16.5">
      <c r="A298" s="47" t="s">
        <v>810</v>
      </c>
      <c r="B298" s="55" t="s">
        <v>811</v>
      </c>
      <c r="C298" s="49"/>
      <c r="D298" s="50">
        <v>102</v>
      </c>
      <c r="E298" s="51">
        <v>3</v>
      </c>
      <c r="F298" s="52" t="s">
        <v>62</v>
      </c>
      <c r="G298" s="179" t="s">
        <v>37</v>
      </c>
      <c r="I298" s="133"/>
      <c r="K298" s="121" t="s">
        <v>47</v>
      </c>
      <c r="N298" s="122" t="s">
        <v>53</v>
      </c>
      <c r="O298" s="122" t="s">
        <v>76</v>
      </c>
      <c r="P298" s="198" t="s">
        <v>96</v>
      </c>
      <c r="Q298" s="122" t="s">
        <v>112</v>
      </c>
      <c r="T298" s="123">
        <v>1</v>
      </c>
      <c r="W298" s="123">
        <f t="shared" si="5"/>
        <v>1</v>
      </c>
      <c r="X298" s="124">
        <v>1</v>
      </c>
      <c r="Y298" s="125">
        <v>1</v>
      </c>
      <c r="AA298" s="127" t="s">
        <v>113</v>
      </c>
      <c r="AD298" s="128">
        <v>1</v>
      </c>
    </row>
    <row r="299" spans="1:30" ht="16.5">
      <c r="A299" s="47" t="s">
        <v>812</v>
      </c>
      <c r="B299" s="55" t="s">
        <v>813</v>
      </c>
      <c r="C299" s="49"/>
      <c r="D299" s="50">
        <v>103</v>
      </c>
      <c r="E299" s="51">
        <v>1</v>
      </c>
      <c r="F299" s="52" t="s">
        <v>62</v>
      </c>
      <c r="G299" s="179" t="s">
        <v>67</v>
      </c>
      <c r="I299" s="133"/>
      <c r="N299" s="122" t="s">
        <v>40</v>
      </c>
      <c r="O299" s="122"/>
      <c r="P299" s="198" t="s">
        <v>96</v>
      </c>
      <c r="Q299" s="122"/>
      <c r="S299" s="123">
        <v>1</v>
      </c>
      <c r="U299" s="123">
        <v>1</v>
      </c>
      <c r="W299" s="123">
        <f t="shared" si="5"/>
        <v>2</v>
      </c>
      <c r="X299" s="124">
        <v>1</v>
      </c>
      <c r="Y299" s="125"/>
      <c r="AD299" s="128" t="s">
        <v>68</v>
      </c>
    </row>
    <row r="300" spans="1:30" ht="16.5">
      <c r="A300" s="47" t="s">
        <v>814</v>
      </c>
      <c r="B300" s="55" t="s">
        <v>815</v>
      </c>
      <c r="C300" s="49"/>
      <c r="D300" s="50">
        <v>103</v>
      </c>
      <c r="E300" s="51">
        <v>2</v>
      </c>
      <c r="F300" s="52" t="s">
        <v>62</v>
      </c>
      <c r="G300" s="179" t="s">
        <v>67</v>
      </c>
      <c r="I300" s="133"/>
      <c r="M300" s="121" t="s">
        <v>39</v>
      </c>
      <c r="N300" s="122"/>
      <c r="O300" s="122" t="s">
        <v>76</v>
      </c>
      <c r="P300" s="198" t="s">
        <v>96</v>
      </c>
      <c r="Q300" s="122" t="s">
        <v>41</v>
      </c>
      <c r="R300" s="123">
        <v>1</v>
      </c>
      <c r="U300" s="123">
        <v>1</v>
      </c>
      <c r="V300" s="123">
        <v>1</v>
      </c>
      <c r="W300" s="123">
        <f t="shared" si="5"/>
        <v>3</v>
      </c>
      <c r="X300" s="124">
        <v>5</v>
      </c>
      <c r="Y300" s="125">
        <v>1</v>
      </c>
      <c r="AD300" s="128" t="s">
        <v>625</v>
      </c>
    </row>
    <row r="301" spans="1:30" ht="16.5">
      <c r="A301" s="47" t="s">
        <v>816</v>
      </c>
      <c r="B301" s="55" t="s">
        <v>817</v>
      </c>
      <c r="C301" s="49"/>
      <c r="D301" s="50">
        <v>104</v>
      </c>
      <c r="E301" s="51">
        <v>1</v>
      </c>
      <c r="F301" s="52" t="s">
        <v>62</v>
      </c>
      <c r="G301" s="179" t="s">
        <v>412</v>
      </c>
      <c r="I301" s="133"/>
      <c r="K301" s="121" t="s">
        <v>47</v>
      </c>
      <c r="N301" s="122"/>
      <c r="O301" s="122"/>
      <c r="P301" s="198" t="s">
        <v>47</v>
      </c>
      <c r="Q301" s="122"/>
      <c r="R301" s="123">
        <v>1</v>
      </c>
      <c r="W301" s="123">
        <f t="shared" si="5"/>
        <v>1</v>
      </c>
      <c r="X301" s="124">
        <v>5</v>
      </c>
      <c r="Y301" s="125">
        <v>3</v>
      </c>
      <c r="AD301" s="128" t="s">
        <v>141</v>
      </c>
    </row>
    <row r="302" spans="1:30" ht="16.5">
      <c r="A302" s="47" t="s">
        <v>818</v>
      </c>
      <c r="B302" s="55" t="s">
        <v>819</v>
      </c>
      <c r="C302" s="49" t="s">
        <v>820</v>
      </c>
      <c r="D302" s="50">
        <v>104</v>
      </c>
      <c r="E302" s="51">
        <v>2</v>
      </c>
      <c r="F302" s="52" t="s">
        <v>62</v>
      </c>
      <c r="G302" s="179" t="s">
        <v>67</v>
      </c>
      <c r="H302" s="53" t="s">
        <v>493</v>
      </c>
      <c r="I302" s="133"/>
      <c r="K302" s="121" t="s">
        <v>47</v>
      </c>
      <c r="N302" s="122"/>
      <c r="O302" s="122"/>
      <c r="P302" s="198" t="s">
        <v>47</v>
      </c>
      <c r="Q302" s="122" t="s">
        <v>41</v>
      </c>
      <c r="R302" s="123">
        <v>1</v>
      </c>
      <c r="S302" s="123">
        <v>1</v>
      </c>
      <c r="U302" s="123">
        <v>1</v>
      </c>
      <c r="V302" s="123">
        <v>1</v>
      </c>
      <c r="W302" s="123">
        <f t="shared" si="5"/>
        <v>4</v>
      </c>
      <c r="X302" s="124">
        <v>5</v>
      </c>
      <c r="Y302" s="125">
        <v>5</v>
      </c>
      <c r="AD302" s="128" t="s">
        <v>622</v>
      </c>
    </row>
    <row r="303" spans="1:30" ht="16.5">
      <c r="A303" s="47" t="s">
        <v>821</v>
      </c>
      <c r="B303" s="55" t="s">
        <v>822</v>
      </c>
      <c r="C303" s="49"/>
      <c r="D303" s="50">
        <v>108</v>
      </c>
      <c r="E303" s="51">
        <v>1</v>
      </c>
      <c r="F303" s="52" t="s">
        <v>62</v>
      </c>
      <c r="G303" s="179" t="s">
        <v>412</v>
      </c>
      <c r="I303" s="133"/>
      <c r="K303" s="121" t="s">
        <v>47</v>
      </c>
      <c r="N303" s="122" t="s">
        <v>71</v>
      </c>
      <c r="O303" s="122" t="s">
        <v>76</v>
      </c>
      <c r="P303" s="198" t="s">
        <v>47</v>
      </c>
      <c r="Q303" s="122" t="s">
        <v>41</v>
      </c>
      <c r="U303" s="123">
        <v>1</v>
      </c>
      <c r="W303" s="123">
        <f t="shared" si="5"/>
        <v>1</v>
      </c>
      <c r="X303" s="124">
        <v>5</v>
      </c>
      <c r="Y303" s="125">
        <v>3</v>
      </c>
      <c r="AB303" s="127" t="s">
        <v>195</v>
      </c>
      <c r="AD303" s="128" t="s">
        <v>82</v>
      </c>
    </row>
    <row r="304" spans="1:30" ht="16.5">
      <c r="A304" s="47" t="s">
        <v>823</v>
      </c>
      <c r="B304" s="55" t="s">
        <v>824</v>
      </c>
      <c r="C304" s="49"/>
      <c r="D304" s="50">
        <v>108</v>
      </c>
      <c r="E304" s="51">
        <v>2</v>
      </c>
      <c r="F304" s="52" t="s">
        <v>62</v>
      </c>
      <c r="G304" s="179" t="s">
        <v>172</v>
      </c>
      <c r="I304" s="133"/>
      <c r="K304" s="121" t="s">
        <v>38</v>
      </c>
      <c r="N304" s="122"/>
      <c r="O304" s="122"/>
      <c r="P304" s="198" t="s">
        <v>38</v>
      </c>
      <c r="Q304" s="122"/>
      <c r="R304" s="123">
        <v>1</v>
      </c>
      <c r="T304" s="123">
        <v>1</v>
      </c>
      <c r="U304" s="123">
        <v>1</v>
      </c>
      <c r="V304" s="123">
        <v>1</v>
      </c>
      <c r="W304" s="123">
        <f t="shared" si="5"/>
        <v>4</v>
      </c>
      <c r="X304" s="124">
        <v>2</v>
      </c>
      <c r="Y304" s="125">
        <v>2</v>
      </c>
      <c r="AD304" s="128" t="s">
        <v>825</v>
      </c>
    </row>
    <row r="305" spans="1:30" ht="16.5">
      <c r="A305" s="47" t="s">
        <v>826</v>
      </c>
      <c r="B305" s="55" t="s">
        <v>827</v>
      </c>
      <c r="C305" s="49"/>
      <c r="D305" s="50">
        <v>108</v>
      </c>
      <c r="E305" s="51">
        <v>3</v>
      </c>
      <c r="F305" s="52" t="s">
        <v>62</v>
      </c>
      <c r="G305" s="179" t="s">
        <v>67</v>
      </c>
      <c r="I305" s="133"/>
      <c r="L305" s="121" t="s">
        <v>41</v>
      </c>
      <c r="N305" s="122" t="s">
        <v>40</v>
      </c>
      <c r="O305" s="122"/>
      <c r="P305" s="198" t="s">
        <v>38</v>
      </c>
      <c r="Q305" s="122" t="s">
        <v>41</v>
      </c>
      <c r="R305" s="123">
        <v>1</v>
      </c>
      <c r="V305" s="123">
        <v>1</v>
      </c>
      <c r="W305" s="123">
        <f t="shared" si="5"/>
        <v>2</v>
      </c>
      <c r="X305" s="124">
        <v>2</v>
      </c>
      <c r="Y305" s="125">
        <v>3</v>
      </c>
      <c r="AD305" s="128" t="s">
        <v>141</v>
      </c>
    </row>
    <row r="306" spans="1:30" ht="16.5">
      <c r="A306" s="47" t="s">
        <v>828</v>
      </c>
      <c r="B306" s="55" t="s">
        <v>829</v>
      </c>
      <c r="C306" s="49"/>
      <c r="D306" s="50">
        <v>108</v>
      </c>
      <c r="E306" s="51">
        <v>4</v>
      </c>
      <c r="F306" s="52" t="s">
        <v>62</v>
      </c>
      <c r="G306" s="179" t="s">
        <v>176</v>
      </c>
      <c r="I306" s="133"/>
      <c r="K306" s="121" t="s">
        <v>47</v>
      </c>
      <c r="N306" s="122" t="s">
        <v>40</v>
      </c>
      <c r="O306" s="122" t="s">
        <v>76</v>
      </c>
      <c r="P306" s="198" t="s">
        <v>47</v>
      </c>
      <c r="Q306" s="122"/>
      <c r="V306" s="123">
        <v>1</v>
      </c>
      <c r="W306" s="123">
        <f t="shared" si="5"/>
        <v>1</v>
      </c>
      <c r="X306" s="124">
        <v>1</v>
      </c>
      <c r="Y306" s="125">
        <v>3</v>
      </c>
      <c r="AD306" s="128">
        <v>1</v>
      </c>
    </row>
    <row r="307" spans="1:30" ht="16.5">
      <c r="A307" s="47" t="s">
        <v>830</v>
      </c>
      <c r="B307" s="55" t="s">
        <v>831</v>
      </c>
      <c r="C307" s="49" t="s">
        <v>832</v>
      </c>
      <c r="D307" s="50">
        <v>115</v>
      </c>
      <c r="E307" s="51">
        <v>1</v>
      </c>
      <c r="F307" s="52" t="s">
        <v>62</v>
      </c>
      <c r="G307" s="179" t="s">
        <v>67</v>
      </c>
      <c r="H307" s="53" t="s">
        <v>493</v>
      </c>
      <c r="I307" s="133"/>
      <c r="K307" s="121" t="s">
        <v>47</v>
      </c>
      <c r="N307" s="122"/>
      <c r="O307" s="122"/>
      <c r="P307" s="198" t="s">
        <v>47</v>
      </c>
      <c r="Q307" s="122"/>
      <c r="R307" s="123">
        <v>1</v>
      </c>
      <c r="S307" s="123">
        <v>1</v>
      </c>
      <c r="U307" s="123">
        <v>1</v>
      </c>
      <c r="V307" s="123">
        <v>1</v>
      </c>
      <c r="W307" s="123">
        <f t="shared" si="5"/>
        <v>4</v>
      </c>
      <c r="X307" s="124">
        <v>5</v>
      </c>
      <c r="Y307" s="125">
        <v>2</v>
      </c>
      <c r="AD307" s="128" t="s">
        <v>105</v>
      </c>
    </row>
    <row r="308" spans="1:30" ht="16.5">
      <c r="A308" s="47" t="s">
        <v>833</v>
      </c>
      <c r="B308" s="55" t="s">
        <v>834</v>
      </c>
      <c r="C308" s="49"/>
      <c r="D308" s="50">
        <v>116</v>
      </c>
      <c r="E308" s="51">
        <v>1</v>
      </c>
      <c r="F308" s="52" t="s">
        <v>36</v>
      </c>
      <c r="G308" s="179" t="s">
        <v>67</v>
      </c>
      <c r="I308" s="133"/>
      <c r="J308" s="121" t="s">
        <v>76</v>
      </c>
      <c r="M308" s="121" t="s">
        <v>39</v>
      </c>
      <c r="N308" s="122" t="s">
        <v>40</v>
      </c>
      <c r="O308" s="122" t="s">
        <v>76</v>
      </c>
      <c r="P308" s="198" t="s">
        <v>38</v>
      </c>
      <c r="Q308" s="122"/>
      <c r="T308" s="123">
        <v>1</v>
      </c>
      <c r="U308" s="123">
        <v>1</v>
      </c>
      <c r="W308" s="123">
        <f t="shared" si="5"/>
        <v>2</v>
      </c>
      <c r="X308" s="124">
        <v>5</v>
      </c>
      <c r="Y308" s="125" t="s">
        <v>213</v>
      </c>
      <c r="AD308" s="128" t="s">
        <v>137</v>
      </c>
    </row>
    <row r="309" spans="1:30" ht="16.5">
      <c r="A309" s="47" t="s">
        <v>835</v>
      </c>
      <c r="B309" s="55" t="s">
        <v>836</v>
      </c>
      <c r="C309" s="49"/>
      <c r="D309" s="50">
        <v>116</v>
      </c>
      <c r="E309" s="51">
        <v>3</v>
      </c>
      <c r="F309" s="52" t="s">
        <v>36</v>
      </c>
      <c r="G309" s="179" t="s">
        <v>67</v>
      </c>
      <c r="I309" s="133"/>
      <c r="M309" s="121" t="s">
        <v>39</v>
      </c>
      <c r="N309" s="122"/>
      <c r="O309" s="122"/>
      <c r="P309" s="198" t="s">
        <v>38</v>
      </c>
      <c r="Q309" s="122"/>
      <c r="R309" s="123">
        <v>1</v>
      </c>
      <c r="T309" s="123">
        <v>1</v>
      </c>
      <c r="U309" s="123">
        <v>1</v>
      </c>
      <c r="W309" s="123">
        <f t="shared" si="5"/>
        <v>3</v>
      </c>
      <c r="X309" s="124">
        <v>5</v>
      </c>
      <c r="Y309" s="125">
        <v>3</v>
      </c>
      <c r="AD309" s="128" t="s">
        <v>250</v>
      </c>
    </row>
    <row r="310" spans="1:30" ht="16.5">
      <c r="A310" s="47" t="s">
        <v>837</v>
      </c>
      <c r="B310" s="55" t="s">
        <v>838</v>
      </c>
      <c r="C310" s="49"/>
      <c r="D310" s="50">
        <v>119</v>
      </c>
      <c r="E310" s="51">
        <v>1</v>
      </c>
      <c r="F310" s="52" t="s">
        <v>62</v>
      </c>
      <c r="G310" s="181" t="s">
        <v>839</v>
      </c>
      <c r="I310" s="133"/>
      <c r="K310" s="121" t="s">
        <v>47</v>
      </c>
      <c r="N310" s="122"/>
      <c r="O310" s="122"/>
      <c r="P310" s="198" t="s">
        <v>47</v>
      </c>
      <c r="Q310" s="122"/>
      <c r="R310" s="123">
        <v>1</v>
      </c>
      <c r="U310" s="123">
        <v>1</v>
      </c>
      <c r="W310" s="123">
        <f t="shared" si="5"/>
        <v>2</v>
      </c>
      <c r="X310" s="124">
        <v>5</v>
      </c>
      <c r="Y310" s="125">
        <v>3</v>
      </c>
      <c r="AD310" s="128" t="s">
        <v>141</v>
      </c>
    </row>
    <row r="311" spans="1:30" ht="16.5">
      <c r="A311" s="47" t="s">
        <v>840</v>
      </c>
      <c r="B311" s="55" t="s">
        <v>841</v>
      </c>
      <c r="C311" s="49"/>
      <c r="D311" s="50">
        <v>119</v>
      </c>
      <c r="E311" s="51">
        <v>2</v>
      </c>
      <c r="F311" s="52" t="s">
        <v>62</v>
      </c>
      <c r="G311" s="179" t="s">
        <v>46</v>
      </c>
      <c r="I311" s="133"/>
      <c r="K311" s="121" t="s">
        <v>47</v>
      </c>
      <c r="N311" s="122" t="s">
        <v>71</v>
      </c>
      <c r="O311" s="122" t="s">
        <v>140</v>
      </c>
      <c r="P311" s="198" t="s">
        <v>47</v>
      </c>
      <c r="Q311" s="122"/>
      <c r="R311" s="123">
        <v>1</v>
      </c>
      <c r="V311" s="123">
        <v>1</v>
      </c>
      <c r="W311" s="123">
        <f t="shared" si="5"/>
        <v>2</v>
      </c>
      <c r="X311" s="124">
        <v>2</v>
      </c>
      <c r="Y311" s="125">
        <v>3</v>
      </c>
      <c r="Z311" s="126" t="s">
        <v>59</v>
      </c>
      <c r="AD311" s="128" t="s">
        <v>842</v>
      </c>
    </row>
    <row r="312" spans="1:30" ht="16.5">
      <c r="A312" s="47" t="s">
        <v>843</v>
      </c>
      <c r="B312" s="55" t="s">
        <v>844</v>
      </c>
      <c r="C312" s="49"/>
      <c r="D312" s="50">
        <v>119</v>
      </c>
      <c r="E312" s="51">
        <v>3</v>
      </c>
      <c r="F312" s="52" t="s">
        <v>62</v>
      </c>
      <c r="G312" s="179" t="s">
        <v>172</v>
      </c>
      <c r="I312" s="133"/>
      <c r="K312" s="121" t="s">
        <v>38</v>
      </c>
      <c r="N312" s="122"/>
      <c r="O312" s="122" t="s">
        <v>76</v>
      </c>
      <c r="P312" s="198" t="s">
        <v>38</v>
      </c>
      <c r="Q312" s="122" t="s">
        <v>41</v>
      </c>
      <c r="W312" s="123">
        <f t="shared" si="5"/>
        <v>0</v>
      </c>
      <c r="X312" s="124">
        <v>1</v>
      </c>
      <c r="Y312" s="125">
        <v>2</v>
      </c>
    </row>
    <row r="313" spans="1:30" ht="16.5">
      <c r="A313" s="47" t="s">
        <v>845</v>
      </c>
      <c r="B313" s="55" t="s">
        <v>846</v>
      </c>
      <c r="C313" s="49"/>
      <c r="D313" s="50">
        <v>119</v>
      </c>
      <c r="E313" s="51">
        <v>4</v>
      </c>
      <c r="F313" s="52" t="s">
        <v>62</v>
      </c>
      <c r="G313" s="179" t="s">
        <v>412</v>
      </c>
      <c r="I313" s="133"/>
      <c r="K313" s="121" t="s">
        <v>47</v>
      </c>
      <c r="N313" s="122"/>
      <c r="O313" s="122"/>
      <c r="P313" s="198" t="s">
        <v>47</v>
      </c>
      <c r="Q313" s="122"/>
      <c r="R313" s="123">
        <v>1</v>
      </c>
      <c r="W313" s="123">
        <f t="shared" si="5"/>
        <v>1</v>
      </c>
      <c r="X313" s="124">
        <v>5</v>
      </c>
      <c r="Y313" s="125">
        <v>3</v>
      </c>
      <c r="AD313" s="128" t="s">
        <v>141</v>
      </c>
    </row>
    <row r="314" spans="1:30" ht="16.5">
      <c r="A314" s="47" t="s">
        <v>847</v>
      </c>
      <c r="B314" s="55" t="s">
        <v>848</v>
      </c>
      <c r="C314" s="49"/>
      <c r="D314" s="50">
        <v>119</v>
      </c>
      <c r="E314" s="51">
        <v>5</v>
      </c>
      <c r="F314" s="52" t="s">
        <v>62</v>
      </c>
      <c r="G314" s="179" t="s">
        <v>192</v>
      </c>
      <c r="I314" s="133"/>
      <c r="J314" s="135"/>
      <c r="M314" s="121" t="s">
        <v>39</v>
      </c>
      <c r="N314" s="122" t="s">
        <v>71</v>
      </c>
      <c r="O314" s="122"/>
      <c r="P314" s="198" t="s">
        <v>96</v>
      </c>
      <c r="Q314" s="122"/>
      <c r="R314" s="123">
        <v>1</v>
      </c>
      <c r="U314" s="123">
        <v>1</v>
      </c>
      <c r="V314" s="123">
        <v>1</v>
      </c>
      <c r="W314" s="123">
        <f t="shared" si="5"/>
        <v>3</v>
      </c>
      <c r="X314" s="124">
        <v>1</v>
      </c>
      <c r="Y314" s="125">
        <v>3</v>
      </c>
      <c r="AD314" s="128">
        <v>4</v>
      </c>
    </row>
    <row r="315" spans="1:30" ht="16.5">
      <c r="A315" s="47" t="s">
        <v>849</v>
      </c>
      <c r="B315" s="55" t="s">
        <v>850</v>
      </c>
      <c r="C315" s="49"/>
      <c r="D315" s="50">
        <v>119</v>
      </c>
      <c r="E315" s="51">
        <v>6</v>
      </c>
      <c r="F315" s="52" t="s">
        <v>62</v>
      </c>
      <c r="G315" s="179" t="s">
        <v>192</v>
      </c>
      <c r="I315" s="133"/>
      <c r="J315" s="121" t="s">
        <v>76</v>
      </c>
      <c r="N315" s="122"/>
      <c r="O315" s="122" t="s">
        <v>76</v>
      </c>
      <c r="P315" s="198" t="s">
        <v>47</v>
      </c>
      <c r="Q315" s="122"/>
      <c r="S315" s="123">
        <v>1</v>
      </c>
      <c r="U315" s="123">
        <v>1</v>
      </c>
      <c r="V315" s="123">
        <v>1</v>
      </c>
      <c r="W315" s="123">
        <f t="shared" si="5"/>
        <v>3</v>
      </c>
      <c r="X315" s="124">
        <v>2</v>
      </c>
      <c r="Y315" s="125">
        <v>2</v>
      </c>
      <c r="AC315" s="127" t="s">
        <v>113</v>
      </c>
      <c r="AD315" s="128" t="s">
        <v>93</v>
      </c>
    </row>
    <row r="316" spans="1:30" ht="16.5">
      <c r="A316" s="47" t="s">
        <v>851</v>
      </c>
      <c r="B316" s="55" t="s">
        <v>852</v>
      </c>
      <c r="C316" s="49"/>
      <c r="D316" s="50">
        <v>119</v>
      </c>
      <c r="E316" s="51">
        <v>7</v>
      </c>
      <c r="F316" s="52" t="s">
        <v>62</v>
      </c>
      <c r="G316" s="179" t="s">
        <v>67</v>
      </c>
      <c r="I316" s="133"/>
      <c r="K316" s="121" t="s">
        <v>38</v>
      </c>
      <c r="N316" s="122"/>
      <c r="O316" s="122" t="s">
        <v>140</v>
      </c>
      <c r="P316" s="198" t="s">
        <v>96</v>
      </c>
      <c r="Q316" s="122"/>
      <c r="R316" s="123">
        <v>1</v>
      </c>
      <c r="U316" s="123">
        <v>1</v>
      </c>
      <c r="V316" s="123">
        <v>1</v>
      </c>
      <c r="W316" s="123">
        <f t="shared" si="5"/>
        <v>3</v>
      </c>
      <c r="X316" s="124">
        <v>2</v>
      </c>
      <c r="Y316" s="125">
        <v>1</v>
      </c>
      <c r="Z316" s="126" t="s">
        <v>59</v>
      </c>
      <c r="AD316" s="128" t="s">
        <v>250</v>
      </c>
    </row>
    <row r="317" spans="1:30" ht="16.5">
      <c r="A317" s="47" t="s">
        <v>853</v>
      </c>
      <c r="B317" s="55" t="s">
        <v>854</v>
      </c>
      <c r="C317" s="49"/>
      <c r="D317" s="50">
        <v>119</v>
      </c>
      <c r="E317" s="51">
        <v>8</v>
      </c>
      <c r="F317" s="52" t="s">
        <v>62</v>
      </c>
      <c r="G317" s="179" t="s">
        <v>307</v>
      </c>
      <c r="I317" s="133"/>
      <c r="K317" s="121" t="s">
        <v>38</v>
      </c>
      <c r="N317" s="122"/>
      <c r="O317" s="122"/>
      <c r="P317" s="198" t="s">
        <v>38</v>
      </c>
      <c r="Q317" s="122"/>
      <c r="R317" s="123">
        <v>1</v>
      </c>
      <c r="U317" s="123">
        <v>1</v>
      </c>
      <c r="V317" s="123">
        <v>1</v>
      </c>
      <c r="W317" s="123">
        <f t="shared" si="5"/>
        <v>3</v>
      </c>
      <c r="X317" s="124">
        <v>1</v>
      </c>
      <c r="Y317" s="125">
        <v>4</v>
      </c>
      <c r="AD317" s="128" t="s">
        <v>203</v>
      </c>
    </row>
    <row r="318" spans="1:30" ht="16.5">
      <c r="A318" s="47" t="s">
        <v>855</v>
      </c>
      <c r="B318" s="55" t="s">
        <v>856</v>
      </c>
      <c r="C318" s="49"/>
      <c r="D318" s="50">
        <v>119</v>
      </c>
      <c r="E318" s="51">
        <v>9</v>
      </c>
      <c r="F318" s="52" t="s">
        <v>62</v>
      </c>
      <c r="G318" s="179" t="s">
        <v>412</v>
      </c>
      <c r="I318" s="133"/>
      <c r="K318" s="121" t="s">
        <v>47</v>
      </c>
      <c r="N318" s="122"/>
      <c r="O318" s="122" t="s">
        <v>140</v>
      </c>
      <c r="P318" s="198" t="s">
        <v>47</v>
      </c>
      <c r="Q318" s="122"/>
      <c r="W318" s="123">
        <f t="shared" si="5"/>
        <v>0</v>
      </c>
      <c r="X318" s="124">
        <v>3</v>
      </c>
      <c r="Y318" s="125">
        <v>3</v>
      </c>
      <c r="Z318" s="126" t="s">
        <v>59</v>
      </c>
    </row>
    <row r="319" spans="1:30" ht="16.5">
      <c r="A319" s="47" t="s">
        <v>857</v>
      </c>
      <c r="B319" s="55" t="s">
        <v>858</v>
      </c>
      <c r="C319" s="49"/>
      <c r="D319" s="50">
        <v>119</v>
      </c>
      <c r="E319" s="51">
        <v>10</v>
      </c>
      <c r="F319" s="52" t="s">
        <v>62</v>
      </c>
      <c r="G319" s="179" t="s">
        <v>37</v>
      </c>
      <c r="I319" s="133"/>
      <c r="J319" s="135"/>
      <c r="K319" s="121" t="s">
        <v>38</v>
      </c>
      <c r="N319" s="122" t="s">
        <v>71</v>
      </c>
      <c r="O319" s="122"/>
      <c r="P319" s="198" t="s">
        <v>38</v>
      </c>
      <c r="Q319" s="122"/>
      <c r="R319" s="123">
        <v>1</v>
      </c>
      <c r="U319" s="123">
        <v>1</v>
      </c>
      <c r="V319" s="123">
        <v>1</v>
      </c>
      <c r="W319" s="123">
        <f t="shared" si="5"/>
        <v>3</v>
      </c>
      <c r="X319" s="124">
        <v>5</v>
      </c>
      <c r="Y319" s="125">
        <v>2</v>
      </c>
      <c r="AD319" s="128" t="s">
        <v>137</v>
      </c>
    </row>
    <row r="320" spans="1:30" ht="16.5">
      <c r="A320" s="47" t="s">
        <v>859</v>
      </c>
      <c r="B320" s="55" t="s">
        <v>860</v>
      </c>
      <c r="C320" s="49"/>
      <c r="D320" s="50">
        <v>119</v>
      </c>
      <c r="E320" s="51">
        <v>11</v>
      </c>
      <c r="F320" s="52" t="s">
        <v>62</v>
      </c>
      <c r="G320" s="179" t="s">
        <v>412</v>
      </c>
      <c r="I320" s="133"/>
      <c r="L320" s="121" t="s">
        <v>41</v>
      </c>
      <c r="N320" s="122"/>
      <c r="O320" s="122"/>
      <c r="P320" s="198" t="s">
        <v>47</v>
      </c>
      <c r="Q320" s="122" t="s">
        <v>41</v>
      </c>
      <c r="R320" s="123">
        <v>1</v>
      </c>
      <c r="V320" s="123">
        <v>1</v>
      </c>
      <c r="W320" s="123">
        <f t="shared" si="5"/>
        <v>2</v>
      </c>
      <c r="X320" s="124">
        <v>5</v>
      </c>
      <c r="Y320" s="125">
        <v>4</v>
      </c>
      <c r="AD320" s="128" t="s">
        <v>157</v>
      </c>
    </row>
    <row r="321" spans="1:30" ht="16.5">
      <c r="A321" s="47" t="s">
        <v>861</v>
      </c>
      <c r="B321" s="55" t="s">
        <v>862</v>
      </c>
      <c r="C321" s="49"/>
      <c r="D321" s="50">
        <v>119</v>
      </c>
      <c r="E321" s="51">
        <v>12</v>
      </c>
      <c r="F321" s="52" t="s">
        <v>62</v>
      </c>
      <c r="G321" s="179" t="s">
        <v>540</v>
      </c>
      <c r="L321" s="121" t="s">
        <v>41</v>
      </c>
      <c r="N321" s="122" t="s">
        <v>53</v>
      </c>
      <c r="O321" s="122"/>
      <c r="P321" s="198" t="s">
        <v>38</v>
      </c>
      <c r="Q321" s="122" t="s">
        <v>41</v>
      </c>
      <c r="W321" s="123">
        <f t="shared" si="5"/>
        <v>0</v>
      </c>
      <c r="X321" s="124">
        <v>2</v>
      </c>
      <c r="Y321" s="125">
        <v>5</v>
      </c>
      <c r="AD321" s="128" t="s">
        <v>863</v>
      </c>
    </row>
    <row r="322" spans="1:30" ht="16.5">
      <c r="A322" s="47" t="s">
        <v>864</v>
      </c>
      <c r="B322" s="55" t="s">
        <v>865</v>
      </c>
      <c r="C322" s="49"/>
      <c r="D322" s="50">
        <v>119</v>
      </c>
      <c r="E322" s="51">
        <v>13</v>
      </c>
      <c r="F322" s="52" t="s">
        <v>62</v>
      </c>
      <c r="G322" s="179" t="s">
        <v>81</v>
      </c>
      <c r="M322" s="121" t="s">
        <v>39</v>
      </c>
      <c r="N322" s="122" t="s">
        <v>53</v>
      </c>
      <c r="O322" s="122"/>
      <c r="P322" s="198" t="s">
        <v>47</v>
      </c>
      <c r="Q322" s="122"/>
      <c r="S322" s="123">
        <v>1</v>
      </c>
      <c r="U322" s="123">
        <v>1</v>
      </c>
      <c r="W322" s="123">
        <f t="shared" si="5"/>
        <v>2</v>
      </c>
      <c r="X322" s="124">
        <v>2</v>
      </c>
      <c r="Y322" s="125">
        <v>3</v>
      </c>
      <c r="AD322" s="128" t="s">
        <v>260</v>
      </c>
    </row>
    <row r="323" spans="1:30" ht="16.5">
      <c r="A323" s="47" t="s">
        <v>866</v>
      </c>
      <c r="B323" s="55" t="s">
        <v>867</v>
      </c>
      <c r="C323" s="49"/>
      <c r="D323" s="50">
        <v>119</v>
      </c>
      <c r="E323" s="51">
        <v>14</v>
      </c>
      <c r="F323" s="52" t="s">
        <v>62</v>
      </c>
      <c r="G323" s="179" t="s">
        <v>291</v>
      </c>
      <c r="K323" s="121" t="s">
        <v>47</v>
      </c>
      <c r="N323" s="122"/>
      <c r="O323" s="122"/>
      <c r="P323" s="198" t="s">
        <v>47</v>
      </c>
      <c r="Q323" s="122" t="s">
        <v>41</v>
      </c>
      <c r="R323" s="123">
        <v>1</v>
      </c>
      <c r="S323" s="123">
        <v>1</v>
      </c>
      <c r="V323" s="123">
        <v>1</v>
      </c>
      <c r="W323" s="123">
        <f t="shared" si="5"/>
        <v>3</v>
      </c>
      <c r="X323" s="124">
        <v>5</v>
      </c>
      <c r="Y323" s="125">
        <v>2</v>
      </c>
      <c r="AD323" s="128" t="s">
        <v>260</v>
      </c>
    </row>
    <row r="324" spans="1:30" ht="16.5">
      <c r="A324" s="47" t="s">
        <v>868</v>
      </c>
      <c r="B324" s="55" t="s">
        <v>869</v>
      </c>
      <c r="C324" s="49"/>
      <c r="D324" s="50">
        <v>119</v>
      </c>
      <c r="E324" s="51">
        <v>15</v>
      </c>
      <c r="F324" s="52" t="s">
        <v>62</v>
      </c>
      <c r="G324" s="179" t="s">
        <v>307</v>
      </c>
      <c r="L324" s="121" t="s">
        <v>41</v>
      </c>
      <c r="N324" s="122"/>
      <c r="O324" s="122"/>
      <c r="P324" s="198" t="s">
        <v>38</v>
      </c>
      <c r="Q324" s="122" t="s">
        <v>41</v>
      </c>
      <c r="R324" s="123">
        <v>1</v>
      </c>
      <c r="W324" s="123">
        <f t="shared" si="5"/>
        <v>1</v>
      </c>
      <c r="X324" s="124">
        <v>1</v>
      </c>
      <c r="Y324" s="125">
        <v>1</v>
      </c>
      <c r="AD324" s="128" t="s">
        <v>64</v>
      </c>
    </row>
    <row r="325" spans="1:30" ht="16.5">
      <c r="A325" s="47" t="s">
        <v>870</v>
      </c>
      <c r="B325" s="55" t="s">
        <v>871</v>
      </c>
      <c r="C325" s="49"/>
      <c r="D325" s="50">
        <v>119</v>
      </c>
      <c r="E325" s="51">
        <v>16</v>
      </c>
      <c r="F325" s="52" t="s">
        <v>62</v>
      </c>
      <c r="G325" s="179" t="s">
        <v>111</v>
      </c>
      <c r="K325" s="121" t="s">
        <v>47</v>
      </c>
      <c r="N325" s="122"/>
      <c r="O325" s="122" t="s">
        <v>76</v>
      </c>
      <c r="P325" s="198" t="s">
        <v>47</v>
      </c>
      <c r="Q325" s="122"/>
      <c r="U325" s="123">
        <v>1</v>
      </c>
      <c r="V325" s="123">
        <v>1</v>
      </c>
      <c r="W325" s="123">
        <f t="shared" si="5"/>
        <v>2</v>
      </c>
      <c r="X325" s="124">
        <v>1</v>
      </c>
      <c r="Y325" s="125">
        <v>2</v>
      </c>
      <c r="AD325" s="128" t="s">
        <v>389</v>
      </c>
    </row>
    <row r="326" spans="1:30" ht="16.5">
      <c r="A326" s="47" t="s">
        <v>872</v>
      </c>
      <c r="B326" s="55" t="s">
        <v>873</v>
      </c>
      <c r="C326" s="49"/>
      <c r="D326" s="50">
        <v>119</v>
      </c>
      <c r="E326" s="51">
        <v>17</v>
      </c>
      <c r="F326" s="52" t="s">
        <v>62</v>
      </c>
      <c r="G326" s="179" t="s">
        <v>412</v>
      </c>
      <c r="K326" s="121" t="s">
        <v>47</v>
      </c>
      <c r="N326" s="122"/>
      <c r="O326" s="122" t="s">
        <v>76</v>
      </c>
      <c r="P326" s="198" t="s">
        <v>47</v>
      </c>
      <c r="Q326" s="122"/>
      <c r="W326" s="123">
        <f t="shared" si="5"/>
        <v>0</v>
      </c>
      <c r="X326" s="124">
        <v>1</v>
      </c>
      <c r="Y326" s="125">
        <v>1</v>
      </c>
      <c r="AD326" s="128">
        <v>3</v>
      </c>
    </row>
    <row r="327" spans="1:30" ht="16.5">
      <c r="A327" s="47" t="s">
        <v>874</v>
      </c>
      <c r="B327" s="55" t="s">
        <v>875</v>
      </c>
      <c r="C327" s="49"/>
      <c r="D327" s="50">
        <v>119</v>
      </c>
      <c r="E327" s="51">
        <v>18</v>
      </c>
      <c r="F327" s="52" t="s">
        <v>62</v>
      </c>
      <c r="G327" s="179" t="s">
        <v>876</v>
      </c>
      <c r="N327" s="122"/>
      <c r="O327" s="122" t="s">
        <v>76</v>
      </c>
      <c r="P327" s="198" t="s">
        <v>47</v>
      </c>
      <c r="Q327" s="122"/>
      <c r="W327" s="123">
        <f t="shared" ref="W327:W339" si="6">SUM(R327:V327)</f>
        <v>0</v>
      </c>
      <c r="X327" s="124">
        <v>2</v>
      </c>
      <c r="Y327" s="125"/>
      <c r="AD327" s="128" t="s">
        <v>48</v>
      </c>
    </row>
    <row r="328" spans="1:30" ht="16.5">
      <c r="A328" s="47" t="s">
        <v>877</v>
      </c>
      <c r="B328" s="55" t="s">
        <v>878</v>
      </c>
      <c r="C328" s="49"/>
      <c r="D328" s="50">
        <v>119</v>
      </c>
      <c r="E328" s="51">
        <v>19</v>
      </c>
      <c r="F328" s="52" t="s">
        <v>62</v>
      </c>
      <c r="G328" s="179" t="s">
        <v>81</v>
      </c>
      <c r="K328" s="121" t="s">
        <v>47</v>
      </c>
      <c r="N328" s="122"/>
      <c r="O328" s="122" t="s">
        <v>76</v>
      </c>
      <c r="P328" s="198" t="s">
        <v>47</v>
      </c>
      <c r="Q328" s="122" t="s">
        <v>41</v>
      </c>
      <c r="R328" s="123">
        <v>1</v>
      </c>
      <c r="S328" s="123">
        <v>1</v>
      </c>
      <c r="W328" s="123">
        <f t="shared" si="6"/>
        <v>2</v>
      </c>
      <c r="X328" s="124">
        <v>2</v>
      </c>
      <c r="Y328" s="125">
        <v>5</v>
      </c>
      <c r="AD328" s="128" t="s">
        <v>879</v>
      </c>
    </row>
    <row r="329" spans="1:30" ht="16.5">
      <c r="A329" s="47" t="s">
        <v>880</v>
      </c>
      <c r="B329" s="55" t="s">
        <v>881</v>
      </c>
      <c r="C329" s="49"/>
      <c r="D329" s="50">
        <v>119</v>
      </c>
      <c r="E329" s="51">
        <v>20</v>
      </c>
      <c r="F329" s="52" t="s">
        <v>62</v>
      </c>
      <c r="G329" s="179" t="s">
        <v>133</v>
      </c>
      <c r="J329" s="135"/>
      <c r="K329" s="121" t="s">
        <v>38</v>
      </c>
      <c r="N329" s="122" t="s">
        <v>53</v>
      </c>
      <c r="O329" s="122" t="s">
        <v>76</v>
      </c>
      <c r="P329" s="198" t="s">
        <v>38</v>
      </c>
      <c r="Q329" s="122"/>
      <c r="U329" s="123">
        <v>1</v>
      </c>
      <c r="V329" s="123">
        <v>1</v>
      </c>
      <c r="W329" s="123">
        <f t="shared" si="6"/>
        <v>2</v>
      </c>
      <c r="X329" s="124">
        <v>2</v>
      </c>
      <c r="Y329" s="125">
        <v>2</v>
      </c>
      <c r="AD329" s="128" t="s">
        <v>157</v>
      </c>
    </row>
    <row r="330" spans="1:30" ht="16.5">
      <c r="A330" s="47" t="s">
        <v>882</v>
      </c>
      <c r="B330" s="55" t="s">
        <v>883</v>
      </c>
      <c r="C330" s="49"/>
      <c r="D330" s="50">
        <v>119</v>
      </c>
      <c r="E330" s="51">
        <v>21</v>
      </c>
      <c r="F330" s="52" t="s">
        <v>62</v>
      </c>
      <c r="G330" s="179" t="s">
        <v>81</v>
      </c>
      <c r="L330" s="121" t="s">
        <v>41</v>
      </c>
      <c r="N330" s="122" t="s">
        <v>53</v>
      </c>
      <c r="O330" s="122" t="s">
        <v>76</v>
      </c>
      <c r="P330" s="198" t="s">
        <v>47</v>
      </c>
      <c r="Q330" s="122" t="s">
        <v>41</v>
      </c>
      <c r="S330" s="123">
        <v>1</v>
      </c>
      <c r="V330" s="123">
        <v>1</v>
      </c>
      <c r="W330" s="123">
        <f t="shared" si="6"/>
        <v>2</v>
      </c>
      <c r="X330" s="124">
        <v>4</v>
      </c>
      <c r="Y330" s="125">
        <v>2</v>
      </c>
      <c r="AD330" s="128" t="s">
        <v>240</v>
      </c>
    </row>
    <row r="331" spans="1:30" ht="16.5">
      <c r="A331" s="47" t="s">
        <v>884</v>
      </c>
      <c r="B331" s="55" t="s">
        <v>885</v>
      </c>
      <c r="C331" s="49"/>
      <c r="D331" s="50">
        <v>119</v>
      </c>
      <c r="E331" s="51">
        <v>22</v>
      </c>
      <c r="F331" s="52" t="s">
        <v>62</v>
      </c>
      <c r="G331" s="179" t="s">
        <v>192</v>
      </c>
      <c r="J331" s="121" t="s">
        <v>76</v>
      </c>
      <c r="N331" s="122" t="s">
        <v>40</v>
      </c>
      <c r="O331" s="122" t="s">
        <v>76</v>
      </c>
      <c r="P331" s="198" t="s">
        <v>96</v>
      </c>
      <c r="Q331" s="122"/>
      <c r="S331" s="123">
        <v>1</v>
      </c>
      <c r="W331" s="123">
        <f t="shared" si="6"/>
        <v>1</v>
      </c>
      <c r="X331" s="124">
        <v>2</v>
      </c>
      <c r="Y331" s="125">
        <v>1</v>
      </c>
      <c r="AC331" s="127" t="s">
        <v>202</v>
      </c>
      <c r="AD331" s="128" t="s">
        <v>886</v>
      </c>
    </row>
    <row r="332" spans="1:30" ht="16.5">
      <c r="A332" s="47" t="s">
        <v>887</v>
      </c>
      <c r="B332" s="55" t="s">
        <v>888</v>
      </c>
      <c r="C332" s="49"/>
      <c r="D332" s="50">
        <v>119</v>
      </c>
      <c r="E332" s="51">
        <v>23</v>
      </c>
      <c r="F332" s="52" t="s">
        <v>62</v>
      </c>
      <c r="G332" s="179" t="s">
        <v>46</v>
      </c>
      <c r="K332" s="121" t="s">
        <v>38</v>
      </c>
      <c r="N332" s="122"/>
      <c r="O332" s="122" t="s">
        <v>140</v>
      </c>
      <c r="P332" s="198" t="s">
        <v>38</v>
      </c>
      <c r="Q332" s="122" t="s">
        <v>41</v>
      </c>
      <c r="T332" s="123">
        <v>1</v>
      </c>
      <c r="W332" s="123">
        <f t="shared" si="6"/>
        <v>1</v>
      </c>
      <c r="X332" s="124">
        <v>2</v>
      </c>
      <c r="Y332" s="125">
        <v>4</v>
      </c>
      <c r="Z332" s="126" t="s">
        <v>59</v>
      </c>
      <c r="AD332" s="128" t="s">
        <v>889</v>
      </c>
    </row>
    <row r="333" spans="1:30" ht="16.5">
      <c r="A333" s="47" t="s">
        <v>890</v>
      </c>
      <c r="B333" s="55" t="s">
        <v>891</v>
      </c>
      <c r="C333" s="49"/>
      <c r="D333" s="50">
        <v>119</v>
      </c>
      <c r="E333" s="51">
        <v>24</v>
      </c>
      <c r="F333" s="52" t="s">
        <v>62</v>
      </c>
      <c r="G333" s="179" t="s">
        <v>67</v>
      </c>
      <c r="N333" s="122" t="s">
        <v>71</v>
      </c>
      <c r="O333" s="122" t="s">
        <v>76</v>
      </c>
      <c r="P333" s="198" t="s">
        <v>47</v>
      </c>
      <c r="Q333" s="122"/>
      <c r="R333" s="123">
        <v>1</v>
      </c>
      <c r="U333" s="123">
        <v>1</v>
      </c>
      <c r="W333" s="123">
        <f t="shared" si="6"/>
        <v>2</v>
      </c>
      <c r="X333" s="124">
        <v>3</v>
      </c>
      <c r="Y333" s="125"/>
      <c r="AD333" s="128" t="s">
        <v>389</v>
      </c>
    </row>
    <row r="334" spans="1:30" ht="16.5">
      <c r="A334" s="47" t="s">
        <v>892</v>
      </c>
      <c r="B334" s="55" t="s">
        <v>893</v>
      </c>
      <c r="C334" s="49"/>
      <c r="D334" s="50">
        <v>119</v>
      </c>
      <c r="E334" s="51">
        <v>25</v>
      </c>
      <c r="F334" s="52" t="s">
        <v>62</v>
      </c>
      <c r="G334" s="179" t="s">
        <v>111</v>
      </c>
      <c r="J334" s="135"/>
      <c r="M334" s="121" t="s">
        <v>39</v>
      </c>
      <c r="N334" s="122"/>
      <c r="O334" s="122" t="s">
        <v>76</v>
      </c>
      <c r="P334" s="198" t="s">
        <v>38</v>
      </c>
      <c r="Q334" s="122"/>
      <c r="R334" s="123">
        <v>1</v>
      </c>
      <c r="U334" s="123">
        <v>1</v>
      </c>
      <c r="V334" s="123">
        <v>1</v>
      </c>
      <c r="W334" s="123">
        <f t="shared" si="6"/>
        <v>3</v>
      </c>
      <c r="X334" s="124">
        <v>2</v>
      </c>
      <c r="Y334" s="125">
        <v>2</v>
      </c>
      <c r="AD334" s="128" t="s">
        <v>245</v>
      </c>
    </row>
    <row r="335" spans="1:30" ht="16.5">
      <c r="A335" s="47" t="s">
        <v>894</v>
      </c>
      <c r="B335" s="55" t="s">
        <v>895</v>
      </c>
      <c r="C335" s="49"/>
      <c r="D335" s="50">
        <v>119</v>
      </c>
      <c r="E335" s="51">
        <v>26</v>
      </c>
      <c r="F335" s="52" t="s">
        <v>62</v>
      </c>
      <c r="G335" s="179" t="s">
        <v>37</v>
      </c>
      <c r="N335" s="122"/>
      <c r="O335" s="122"/>
      <c r="P335" s="198" t="s">
        <v>47</v>
      </c>
      <c r="Q335" s="122"/>
      <c r="R335" s="123">
        <v>1</v>
      </c>
      <c r="W335" s="123">
        <f t="shared" si="6"/>
        <v>1</v>
      </c>
      <c r="X335" s="124">
        <v>5</v>
      </c>
      <c r="Y335" s="125"/>
      <c r="AD335" s="128" t="s">
        <v>141</v>
      </c>
    </row>
    <row r="336" spans="1:30" ht="16.5">
      <c r="A336" s="47" t="s">
        <v>896</v>
      </c>
      <c r="B336" s="55" t="s">
        <v>897</v>
      </c>
      <c r="C336" s="49"/>
      <c r="D336" s="50">
        <v>119</v>
      </c>
      <c r="E336" s="51">
        <v>27</v>
      </c>
      <c r="F336" s="52" t="s">
        <v>62</v>
      </c>
      <c r="G336" s="179" t="s">
        <v>85</v>
      </c>
      <c r="N336" s="122"/>
      <c r="O336" s="122" t="s">
        <v>76</v>
      </c>
      <c r="P336" s="198" t="s">
        <v>38</v>
      </c>
      <c r="Q336" s="122"/>
      <c r="R336" s="123">
        <v>1</v>
      </c>
      <c r="U336" s="123">
        <v>1</v>
      </c>
      <c r="W336" s="123">
        <f t="shared" si="6"/>
        <v>2</v>
      </c>
      <c r="X336" s="124">
        <v>2</v>
      </c>
      <c r="Y336" s="125"/>
      <c r="AD336" s="128">
        <v>6</v>
      </c>
    </row>
    <row r="337" spans="1:30" ht="16.5">
      <c r="A337" s="47" t="s">
        <v>898</v>
      </c>
      <c r="B337" s="55" t="s">
        <v>899</v>
      </c>
      <c r="C337" s="49"/>
      <c r="D337" s="50">
        <v>119</v>
      </c>
      <c r="E337" s="51">
        <v>28</v>
      </c>
      <c r="F337" s="52" t="s">
        <v>62</v>
      </c>
      <c r="G337" s="179" t="s">
        <v>192</v>
      </c>
      <c r="K337" s="121" t="s">
        <v>47</v>
      </c>
      <c r="N337" s="122"/>
      <c r="O337" s="122" t="s">
        <v>76</v>
      </c>
      <c r="P337" s="198" t="s">
        <v>47</v>
      </c>
      <c r="Q337" s="122" t="s">
        <v>41</v>
      </c>
      <c r="W337" s="123">
        <f t="shared" si="6"/>
        <v>0</v>
      </c>
      <c r="X337" s="124">
        <v>2</v>
      </c>
      <c r="Y337" s="125">
        <v>3</v>
      </c>
      <c r="AD337" s="128" t="s">
        <v>82</v>
      </c>
    </row>
    <row r="338" spans="1:30" ht="16.5">
      <c r="A338" s="47" t="s">
        <v>900</v>
      </c>
      <c r="B338" s="55" t="s">
        <v>901</v>
      </c>
      <c r="C338" s="49"/>
      <c r="D338" s="50">
        <v>123</v>
      </c>
      <c r="E338" s="51">
        <v>1</v>
      </c>
      <c r="F338" s="52" t="s">
        <v>62</v>
      </c>
      <c r="G338" s="179" t="s">
        <v>307</v>
      </c>
      <c r="K338" s="121" t="s">
        <v>47</v>
      </c>
      <c r="N338" s="122"/>
      <c r="O338" s="122"/>
      <c r="P338" s="198" t="s">
        <v>47</v>
      </c>
      <c r="Q338" s="122"/>
      <c r="R338" s="123">
        <v>1</v>
      </c>
      <c r="U338" s="123">
        <v>1</v>
      </c>
      <c r="W338" s="123">
        <f t="shared" si="6"/>
        <v>2</v>
      </c>
      <c r="X338" s="124">
        <v>5</v>
      </c>
      <c r="Y338" s="125">
        <v>3</v>
      </c>
      <c r="AD338" s="128" t="s">
        <v>157</v>
      </c>
    </row>
    <row r="339" spans="1:30" ht="16.5">
      <c r="A339" s="47" t="s">
        <v>902</v>
      </c>
      <c r="B339" s="55" t="s">
        <v>903</v>
      </c>
      <c r="C339" s="49"/>
      <c r="D339" s="50">
        <v>123</v>
      </c>
      <c r="E339" s="51">
        <v>2</v>
      </c>
      <c r="F339" s="52" t="s">
        <v>62</v>
      </c>
      <c r="G339" s="179" t="s">
        <v>81</v>
      </c>
      <c r="M339" s="121" t="s">
        <v>39</v>
      </c>
      <c r="N339" s="122"/>
      <c r="O339" s="122" t="s">
        <v>76</v>
      </c>
      <c r="P339" s="198" t="s">
        <v>96</v>
      </c>
      <c r="Q339" s="122"/>
      <c r="U339" s="123">
        <v>1</v>
      </c>
      <c r="W339" s="123">
        <f t="shared" si="6"/>
        <v>1</v>
      </c>
      <c r="X339" s="124">
        <v>2</v>
      </c>
      <c r="Y339" s="125">
        <v>3</v>
      </c>
      <c r="AD339" s="128" t="s">
        <v>435</v>
      </c>
    </row>
    <row r="340" spans="1:30" ht="16.5">
      <c r="A340" s="47" t="s">
        <v>904</v>
      </c>
      <c r="B340" s="55" t="s">
        <v>905</v>
      </c>
      <c r="C340" s="49"/>
      <c r="D340" s="50">
        <v>123</v>
      </c>
      <c r="E340" s="51">
        <v>3</v>
      </c>
      <c r="F340" s="52" t="s">
        <v>62</v>
      </c>
      <c r="G340" s="179" t="s">
        <v>67</v>
      </c>
      <c r="M340" s="121" t="s">
        <v>39</v>
      </c>
      <c r="N340" s="122" t="s">
        <v>71</v>
      </c>
      <c r="O340" s="122"/>
      <c r="P340" s="198" t="s">
        <v>47</v>
      </c>
      <c r="Q340" s="122"/>
      <c r="R340" s="123">
        <v>1</v>
      </c>
      <c r="U340" s="123">
        <v>1</v>
      </c>
      <c r="W340" s="123">
        <f>SUM(R340:V340)</f>
        <v>2</v>
      </c>
      <c r="X340" s="124">
        <v>5</v>
      </c>
      <c r="Y340" s="125">
        <v>3</v>
      </c>
      <c r="AD340" s="128" t="s">
        <v>250</v>
      </c>
    </row>
    <row r="341" spans="1:30" s="195" customFormat="1">
      <c r="A341" s="200" t="s">
        <v>906</v>
      </c>
      <c r="B341" s="201"/>
      <c r="C341" s="202"/>
      <c r="D341" s="187"/>
      <c r="E341" s="188"/>
      <c r="F341" s="52"/>
      <c r="G341" s="178"/>
      <c r="H341" s="189"/>
      <c r="I341" s="190"/>
      <c r="J341" s="190"/>
      <c r="K341" s="190">
        <f>COUNTIF(K4:K340,"*M*")</f>
        <v>75</v>
      </c>
      <c r="L341" s="190"/>
      <c r="M341" s="190"/>
      <c r="N341" s="190">
        <f>COUNTIF(N4:N340, "*M*")</f>
        <v>73</v>
      </c>
      <c r="O341" s="190">
        <f t="shared" ref="O341:Q341" si="7">COUNTIF(O4:O340, "*M*")</f>
        <v>188</v>
      </c>
      <c r="P341" s="190">
        <f t="shared" si="7"/>
        <v>140</v>
      </c>
      <c r="Q341" s="190">
        <f t="shared" si="7"/>
        <v>145</v>
      </c>
      <c r="R341" s="123"/>
      <c r="S341" s="123"/>
      <c r="T341" s="123"/>
      <c r="U341" s="123">
        <f>SUM(U4:U340)</f>
        <v>203</v>
      </c>
      <c r="V341" s="123"/>
      <c r="W341" s="123"/>
      <c r="X341" s="124"/>
      <c r="Y341" s="191"/>
      <c r="Z341" s="192"/>
      <c r="AA341" s="192"/>
      <c r="AB341" s="193"/>
      <c r="AC341" s="193"/>
      <c r="AD341" s="194"/>
    </row>
    <row r="342" spans="1:30">
      <c r="H342" s="189"/>
      <c r="I342" s="133"/>
      <c r="J342" s="190"/>
      <c r="K342" s="190">
        <f>COUNTIF(K4:K340,"*f*")</f>
        <v>149</v>
      </c>
      <c r="L342" s="190"/>
      <c r="M342" s="190"/>
      <c r="N342" s="190">
        <f>COUNTIF(N4:N340, "*F*")</f>
        <v>101</v>
      </c>
      <c r="O342" s="190">
        <f t="shared" ref="O342:Q342" si="8">COUNTIF(O4:O340, "*F*")</f>
        <v>46</v>
      </c>
      <c r="P342" s="190">
        <f t="shared" si="8"/>
        <v>217</v>
      </c>
      <c r="Q342" s="190">
        <f t="shared" si="8"/>
        <v>12</v>
      </c>
      <c r="R342" s="143"/>
      <c r="S342" s="143"/>
      <c r="T342" s="143"/>
      <c r="U342" s="143"/>
      <c r="V342" s="143"/>
      <c r="W342" s="143"/>
      <c r="X342" s="139"/>
      <c r="Y342" s="140"/>
    </row>
    <row r="343" spans="1:30">
      <c r="H343" s="189"/>
      <c r="I343" s="133"/>
      <c r="J343" s="133"/>
      <c r="K343" s="133">
        <f>SUM(K341:K342)</f>
        <v>224</v>
      </c>
      <c r="L343" s="133"/>
      <c r="M343" s="190"/>
      <c r="N343" s="133"/>
      <c r="O343" s="133"/>
      <c r="P343" s="133">
        <f>SUM(P341:P342)</f>
        <v>357</v>
      </c>
      <c r="Q343" s="133"/>
      <c r="W343" s="138"/>
      <c r="X343" s="139"/>
      <c r="Y343" s="140"/>
    </row>
    <row r="344" spans="1:30">
      <c r="W344" s="138"/>
      <c r="X344" s="139"/>
      <c r="Y344" s="140"/>
    </row>
    <row r="345" spans="1:30">
      <c r="K345" s="141"/>
      <c r="P345" s="142"/>
      <c r="R345" s="143"/>
      <c r="S345" s="143"/>
      <c r="T345" s="143"/>
      <c r="U345" s="143"/>
      <c r="V345" s="143"/>
      <c r="W345" s="138"/>
      <c r="X345" s="139"/>
      <c r="Y345" s="140"/>
    </row>
    <row r="346" spans="1:30">
      <c r="P346" s="144"/>
      <c r="W346" s="138"/>
      <c r="X346" s="139"/>
      <c r="Y346" s="140"/>
    </row>
    <row r="347" spans="1:30">
      <c r="W347" s="138"/>
      <c r="X347" s="139"/>
      <c r="Y347" s="140"/>
    </row>
    <row r="348" spans="1:30">
      <c r="P348" s="145"/>
      <c r="W348" s="138"/>
      <c r="X348" s="139"/>
      <c r="Y348" s="140"/>
    </row>
    <row r="353" spans="1:30">
      <c r="A353" s="59"/>
      <c r="B353" s="59"/>
      <c r="C353" s="59"/>
      <c r="D353" s="60"/>
      <c r="E353" s="61"/>
      <c r="F353" s="62"/>
      <c r="G353" s="183"/>
      <c r="J353" s="146"/>
      <c r="K353" s="146"/>
      <c r="L353" s="146"/>
      <c r="M353" s="146"/>
      <c r="N353" s="146"/>
      <c r="O353" s="146"/>
      <c r="P353" s="146"/>
      <c r="Q353" s="146"/>
      <c r="R353" s="143"/>
      <c r="S353" s="143"/>
      <c r="T353" s="143"/>
      <c r="U353" s="143"/>
      <c r="V353" s="143"/>
      <c r="W353" s="143"/>
      <c r="X353" s="147"/>
      <c r="Y353" s="148"/>
      <c r="Z353" s="149"/>
      <c r="AA353" s="150"/>
      <c r="AB353" s="150"/>
      <c r="AC353" s="150"/>
    </row>
    <row r="357" spans="1:30">
      <c r="A357" s="63"/>
      <c r="B357" s="63"/>
      <c r="C357" s="63"/>
      <c r="D357" s="64"/>
      <c r="E357" s="65"/>
      <c r="F357" s="66"/>
      <c r="G357" s="184"/>
      <c r="I357" s="151"/>
      <c r="J357" s="152"/>
      <c r="K357" s="152"/>
      <c r="L357" s="152"/>
      <c r="M357" s="152"/>
      <c r="N357" s="152"/>
      <c r="O357" s="152"/>
      <c r="P357" s="152"/>
      <c r="Q357" s="152"/>
      <c r="R357" s="153"/>
      <c r="S357" s="153"/>
      <c r="T357" s="153"/>
      <c r="U357" s="153"/>
      <c r="V357" s="153"/>
      <c r="W357" s="153"/>
      <c r="X357" s="154"/>
      <c r="Y357" s="155"/>
      <c r="Z357" s="156"/>
      <c r="AA357" s="157"/>
      <c r="AB357" s="157"/>
      <c r="AC357" s="157"/>
      <c r="AD357" s="158"/>
    </row>
    <row r="361" spans="1:30">
      <c r="A361" s="67"/>
      <c r="B361" s="67"/>
      <c r="C361" s="67"/>
      <c r="D361" s="68"/>
      <c r="E361" s="69"/>
      <c r="F361" s="70"/>
      <c r="G361" s="185"/>
      <c r="I361" s="151"/>
      <c r="J361" s="142"/>
      <c r="K361" s="142"/>
      <c r="L361" s="142"/>
      <c r="M361" s="142"/>
      <c r="N361" s="142"/>
      <c r="O361" s="142"/>
      <c r="P361" s="142"/>
      <c r="Q361" s="142"/>
      <c r="R361" s="159"/>
      <c r="S361" s="159"/>
      <c r="T361" s="159"/>
      <c r="U361" s="159"/>
      <c r="V361" s="159"/>
      <c r="W361" s="159"/>
      <c r="X361" s="160"/>
      <c r="Y361" s="161"/>
      <c r="Z361" s="162"/>
      <c r="AA361" s="163"/>
      <c r="AB361" s="163"/>
      <c r="AC361" s="163"/>
      <c r="AD361" s="158"/>
    </row>
    <row r="365" spans="1:30">
      <c r="A365" s="67"/>
      <c r="B365" s="67"/>
      <c r="C365" s="67"/>
      <c r="D365" s="68"/>
      <c r="E365" s="69"/>
      <c r="F365" s="70"/>
      <c r="G365" s="185"/>
      <c r="I365" s="151"/>
      <c r="J365" s="142"/>
      <c r="K365" s="142"/>
      <c r="L365" s="142"/>
      <c r="M365" s="142"/>
      <c r="N365" s="142"/>
      <c r="O365" s="142"/>
      <c r="P365" s="142"/>
      <c r="Q365" s="142"/>
      <c r="R365" s="159"/>
      <c r="S365" s="159"/>
      <c r="T365" s="159"/>
      <c r="U365" s="159"/>
      <c r="V365" s="159"/>
      <c r="W365" s="159"/>
      <c r="X365" s="160"/>
      <c r="Y365" s="161"/>
      <c r="Z365" s="162"/>
      <c r="AA365" s="163"/>
      <c r="AB365" s="163"/>
      <c r="AC365" s="163"/>
      <c r="AD365" s="158"/>
    </row>
    <row r="369" spans="1:30">
      <c r="A369" s="67"/>
      <c r="B369" s="67"/>
      <c r="C369" s="67"/>
      <c r="D369" s="68"/>
      <c r="E369" s="69"/>
      <c r="F369" s="70"/>
      <c r="G369" s="185"/>
      <c r="I369" s="151"/>
      <c r="J369" s="142"/>
      <c r="K369" s="142"/>
      <c r="L369" s="142"/>
      <c r="M369" s="142"/>
      <c r="N369" s="142"/>
      <c r="O369" s="142"/>
      <c r="P369" s="142"/>
      <c r="Q369" s="142"/>
      <c r="R369" s="159"/>
      <c r="S369" s="159"/>
      <c r="T369" s="159"/>
      <c r="U369" s="159"/>
      <c r="V369" s="159"/>
      <c r="W369" s="159"/>
      <c r="X369" s="160"/>
      <c r="Y369" s="161"/>
      <c r="Z369" s="162"/>
      <c r="AA369" s="163"/>
      <c r="AB369" s="163"/>
      <c r="AC369" s="163"/>
      <c r="AD369" s="158"/>
    </row>
    <row r="373" spans="1:30">
      <c r="A373" s="67"/>
      <c r="B373" s="67"/>
      <c r="C373" s="67"/>
      <c r="D373" s="68"/>
      <c r="E373" s="69"/>
      <c r="F373" s="70"/>
      <c r="G373" s="185"/>
      <c r="I373" s="151"/>
      <c r="J373" s="142"/>
      <c r="K373" s="142"/>
      <c r="L373" s="142"/>
      <c r="M373" s="142"/>
      <c r="N373" s="142"/>
      <c r="O373" s="142"/>
      <c r="P373" s="142"/>
      <c r="Q373" s="142"/>
      <c r="R373" s="159"/>
      <c r="S373" s="159"/>
      <c r="T373" s="159"/>
      <c r="U373" s="159"/>
      <c r="V373" s="159"/>
      <c r="W373" s="159"/>
      <c r="X373" s="160"/>
      <c r="Y373" s="161"/>
      <c r="Z373" s="162"/>
      <c r="AA373" s="163"/>
      <c r="AB373" s="163"/>
      <c r="AC373" s="163"/>
      <c r="AD373" s="158"/>
    </row>
    <row r="377" spans="1:30">
      <c r="A377" s="67"/>
      <c r="B377" s="67"/>
      <c r="C377" s="67"/>
      <c r="D377" s="68"/>
      <c r="E377" s="69"/>
      <c r="F377" s="70"/>
      <c r="G377" s="185"/>
      <c r="I377" s="151"/>
      <c r="J377" s="142"/>
      <c r="K377" s="142"/>
      <c r="L377" s="142"/>
      <c r="M377" s="142"/>
      <c r="N377" s="142"/>
      <c r="O377" s="142"/>
      <c r="P377" s="142"/>
      <c r="Q377" s="142"/>
      <c r="R377" s="159"/>
      <c r="S377" s="159"/>
      <c r="T377" s="159"/>
      <c r="U377" s="159"/>
      <c r="V377" s="159"/>
      <c r="W377" s="159"/>
      <c r="X377" s="160"/>
      <c r="Y377" s="161"/>
      <c r="Z377" s="162"/>
      <c r="AA377" s="163"/>
      <c r="AB377" s="163"/>
      <c r="AC377" s="163"/>
      <c r="AD377" s="158"/>
    </row>
  </sheetData>
  <mergeCells count="6">
    <mergeCell ref="A341:C341"/>
    <mergeCell ref="I2:M2"/>
    <mergeCell ref="R2:V2"/>
    <mergeCell ref="Z2:AC2"/>
    <mergeCell ref="A1:AD1"/>
    <mergeCell ref="N2:Q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A262-E5AA-4866-B4C8-220E9207193F}">
  <dimension ref="A1:U85"/>
  <sheetViews>
    <sheetView zoomScale="145" zoomScaleNormal="145" workbookViewId="0">
      <pane ySplit="2" topLeftCell="A3" activePane="bottomLeft" state="frozen"/>
      <selection pane="bottomLeft" activeCell="B23" sqref="B23"/>
    </sheetView>
  </sheetViews>
  <sheetFormatPr defaultRowHeight="15.75"/>
  <cols>
    <col min="1" max="3" width="52" style="3" customWidth="1"/>
    <col min="4" max="4" width="10.7109375" style="24" customWidth="1"/>
    <col min="5" max="5" width="6.28515625" style="24" customWidth="1"/>
    <col min="6" max="6" width="12.140625" style="7" bestFit="1" customWidth="1"/>
    <col min="7" max="7" width="16.7109375" style="12" bestFit="1" customWidth="1"/>
    <col min="8" max="8" width="13" style="8" customWidth="1"/>
    <col min="9" max="9" width="14.42578125" style="13" customWidth="1"/>
    <col min="10" max="10" width="10.42578125" style="16" bestFit="1" customWidth="1"/>
    <col min="11" max="16384" width="9.140625" style="3"/>
  </cols>
  <sheetData>
    <row r="1" spans="1:21" ht="30" customHeight="1">
      <c r="A1" s="197" t="s">
        <v>907</v>
      </c>
      <c r="B1" s="1"/>
      <c r="K1" s="19"/>
      <c r="L1" s="1"/>
      <c r="M1" s="1"/>
      <c r="N1" s="1"/>
      <c r="O1" s="20"/>
      <c r="P1" s="2"/>
      <c r="Q1" s="21"/>
      <c r="R1" s="21"/>
      <c r="S1" s="21"/>
      <c r="T1" s="22"/>
      <c r="U1" s="18"/>
    </row>
    <row r="2" spans="1:21" ht="47.25">
      <c r="A2" s="71" t="s">
        <v>1</v>
      </c>
      <c r="B2" s="2" t="s">
        <v>2</v>
      </c>
      <c r="C2" s="2" t="s">
        <v>3</v>
      </c>
      <c r="D2" s="6" t="s">
        <v>4</v>
      </c>
      <c r="E2" s="6" t="s">
        <v>5</v>
      </c>
      <c r="F2" s="30" t="s">
        <v>908</v>
      </c>
      <c r="G2" s="11" t="s">
        <v>8</v>
      </c>
      <c r="H2" s="83" t="s">
        <v>909</v>
      </c>
      <c r="I2" s="84" t="s">
        <v>910</v>
      </c>
      <c r="J2" s="14" t="s">
        <v>15</v>
      </c>
    </row>
    <row r="3" spans="1:21" ht="78.75">
      <c r="A3" s="196" t="s">
        <v>911</v>
      </c>
      <c r="C3" s="165" t="s">
        <v>17</v>
      </c>
      <c r="H3" s="45" t="s">
        <v>29</v>
      </c>
      <c r="I3" s="46" t="s">
        <v>29</v>
      </c>
    </row>
    <row r="4" spans="1:21">
      <c r="A4" s="3" t="s">
        <v>912</v>
      </c>
      <c r="B4" s="3" t="s">
        <v>913</v>
      </c>
      <c r="D4" s="24">
        <v>2</v>
      </c>
      <c r="E4" s="24">
        <v>2</v>
      </c>
      <c r="F4" s="7" t="s">
        <v>914</v>
      </c>
      <c r="H4" s="8">
        <v>2</v>
      </c>
      <c r="I4" s="13">
        <v>2</v>
      </c>
      <c r="J4" s="17" t="s">
        <v>64</v>
      </c>
    </row>
    <row r="5" spans="1:21">
      <c r="A5" s="3" t="s">
        <v>915</v>
      </c>
      <c r="B5" s="3" t="s">
        <v>916</v>
      </c>
      <c r="D5" s="24">
        <v>2</v>
      </c>
      <c r="E5" s="24">
        <v>4</v>
      </c>
      <c r="F5" s="7" t="s">
        <v>917</v>
      </c>
      <c r="H5" s="8">
        <v>2</v>
      </c>
      <c r="I5" s="13">
        <v>2</v>
      </c>
      <c r="J5" s="17">
        <v>4</v>
      </c>
    </row>
    <row r="6" spans="1:21" ht="16.5">
      <c r="A6" s="3" t="s">
        <v>918</v>
      </c>
      <c r="B6" s="3" t="s">
        <v>919</v>
      </c>
      <c r="D6" s="24">
        <v>3</v>
      </c>
      <c r="E6" s="24">
        <v>2</v>
      </c>
      <c r="F6" s="32" t="s">
        <v>920</v>
      </c>
      <c r="G6" s="40"/>
      <c r="H6" s="8">
        <v>4</v>
      </c>
      <c r="I6" s="13">
        <v>3</v>
      </c>
      <c r="J6" s="17" t="s">
        <v>68</v>
      </c>
    </row>
    <row r="7" spans="1:21" ht="16.5">
      <c r="A7" s="3" t="s">
        <v>921</v>
      </c>
      <c r="B7" s="3" t="s">
        <v>922</v>
      </c>
      <c r="D7" s="24">
        <v>3</v>
      </c>
      <c r="E7" s="24">
        <v>4</v>
      </c>
      <c r="F7" s="31" t="s">
        <v>917</v>
      </c>
      <c r="G7" s="40"/>
      <c r="H7" s="8">
        <v>2</v>
      </c>
      <c r="I7" s="13">
        <v>2</v>
      </c>
      <c r="J7" s="17" t="s">
        <v>923</v>
      </c>
    </row>
    <row r="8" spans="1:21" ht="16.5">
      <c r="A8" s="3" t="s">
        <v>924</v>
      </c>
      <c r="B8" s="3" t="s">
        <v>925</v>
      </c>
      <c r="D8" s="24">
        <v>5</v>
      </c>
      <c r="E8" s="24">
        <v>2</v>
      </c>
      <c r="F8" s="32" t="s">
        <v>926</v>
      </c>
      <c r="G8" s="41"/>
      <c r="H8" s="8">
        <v>2</v>
      </c>
      <c r="I8" s="13">
        <v>3</v>
      </c>
      <c r="J8" s="17" t="s">
        <v>64</v>
      </c>
    </row>
    <row r="9" spans="1:21" ht="16.5">
      <c r="A9" s="3" t="s">
        <v>927</v>
      </c>
      <c r="B9" s="3" t="s">
        <v>928</v>
      </c>
      <c r="D9" s="24">
        <v>5</v>
      </c>
      <c r="E9" s="24">
        <v>4</v>
      </c>
      <c r="F9" s="32" t="s">
        <v>929</v>
      </c>
      <c r="G9" s="41"/>
      <c r="H9" s="8">
        <v>2</v>
      </c>
      <c r="I9" s="13">
        <v>3</v>
      </c>
      <c r="J9" s="17">
        <v>4</v>
      </c>
    </row>
    <row r="10" spans="1:21" ht="16.5">
      <c r="A10" s="3" t="s">
        <v>930</v>
      </c>
      <c r="B10" s="3" t="s">
        <v>931</v>
      </c>
      <c r="D10" s="24">
        <v>5</v>
      </c>
      <c r="E10" s="24">
        <v>6</v>
      </c>
      <c r="F10" s="31" t="s">
        <v>914</v>
      </c>
      <c r="G10" s="40"/>
      <c r="H10" s="8">
        <v>2</v>
      </c>
      <c r="I10" s="13">
        <v>2</v>
      </c>
      <c r="J10" s="17" t="s">
        <v>64</v>
      </c>
    </row>
    <row r="11" spans="1:21" ht="16.5">
      <c r="A11" s="3" t="s">
        <v>932</v>
      </c>
      <c r="B11" s="3" t="s">
        <v>933</v>
      </c>
      <c r="C11" s="3" t="s">
        <v>934</v>
      </c>
      <c r="D11" s="24">
        <v>13</v>
      </c>
      <c r="E11" s="24">
        <v>2</v>
      </c>
      <c r="F11" s="31" t="s">
        <v>935</v>
      </c>
      <c r="G11" s="40" t="s">
        <v>936</v>
      </c>
      <c r="H11" s="8">
        <v>2</v>
      </c>
      <c r="I11" s="13">
        <v>2</v>
      </c>
      <c r="J11" s="17" t="s">
        <v>64</v>
      </c>
    </row>
    <row r="12" spans="1:21" ht="16.5">
      <c r="A12" s="3" t="s">
        <v>937</v>
      </c>
      <c r="B12" s="3" t="s">
        <v>938</v>
      </c>
      <c r="D12" s="24">
        <v>14</v>
      </c>
      <c r="E12" s="24">
        <v>2</v>
      </c>
      <c r="F12" s="31" t="s">
        <v>935</v>
      </c>
      <c r="G12" s="40"/>
      <c r="H12" s="8">
        <v>1</v>
      </c>
      <c r="I12" s="13">
        <v>2</v>
      </c>
      <c r="J12" s="17" t="s">
        <v>102</v>
      </c>
    </row>
    <row r="13" spans="1:21" ht="16.5">
      <c r="A13" s="3" t="s">
        <v>939</v>
      </c>
      <c r="B13" s="3" t="s">
        <v>940</v>
      </c>
      <c r="D13" s="24">
        <v>16</v>
      </c>
      <c r="E13" s="24">
        <v>2</v>
      </c>
      <c r="F13" s="31" t="s">
        <v>941</v>
      </c>
      <c r="G13" s="40"/>
      <c r="H13" s="8">
        <v>1</v>
      </c>
      <c r="I13" s="13">
        <v>2</v>
      </c>
      <c r="J13" s="17" t="s">
        <v>68</v>
      </c>
    </row>
    <row r="14" spans="1:21" ht="16.5">
      <c r="A14" s="3" t="s">
        <v>942</v>
      </c>
      <c r="B14" s="3" t="s">
        <v>943</v>
      </c>
      <c r="D14" s="24">
        <v>16</v>
      </c>
      <c r="E14" s="24">
        <v>4</v>
      </c>
      <c r="F14" s="31" t="s">
        <v>935</v>
      </c>
      <c r="G14" s="40"/>
      <c r="H14" s="8">
        <v>2</v>
      </c>
      <c r="I14" s="13">
        <v>2</v>
      </c>
      <c r="J14" s="17" t="s">
        <v>64</v>
      </c>
    </row>
    <row r="15" spans="1:21" ht="16.5">
      <c r="A15" s="3" t="s">
        <v>944</v>
      </c>
      <c r="B15" s="3" t="s">
        <v>945</v>
      </c>
      <c r="D15" s="24">
        <v>18</v>
      </c>
      <c r="E15" s="24">
        <v>2</v>
      </c>
      <c r="F15" s="33" t="s">
        <v>946</v>
      </c>
      <c r="G15" s="42"/>
      <c r="H15" s="8">
        <v>2</v>
      </c>
      <c r="I15" s="13">
        <v>2</v>
      </c>
      <c r="J15" s="17" t="s">
        <v>64</v>
      </c>
    </row>
    <row r="16" spans="1:21" ht="16.5">
      <c r="A16" s="3" t="s">
        <v>947</v>
      </c>
      <c r="B16" s="3" t="s">
        <v>948</v>
      </c>
      <c r="D16" s="24">
        <v>23</v>
      </c>
      <c r="E16" s="24">
        <v>2</v>
      </c>
      <c r="F16" s="31" t="s">
        <v>935</v>
      </c>
      <c r="G16" s="40"/>
      <c r="H16" s="8">
        <v>2</v>
      </c>
      <c r="I16" s="13">
        <v>2</v>
      </c>
      <c r="J16" s="17"/>
    </row>
    <row r="17" spans="1:10" ht="16.5">
      <c r="A17" s="3" t="s">
        <v>949</v>
      </c>
      <c r="B17" s="3" t="s">
        <v>950</v>
      </c>
      <c r="D17" s="24">
        <v>23</v>
      </c>
      <c r="E17" s="24">
        <v>4</v>
      </c>
      <c r="F17" s="31" t="s">
        <v>951</v>
      </c>
      <c r="G17" s="40"/>
      <c r="H17" s="8">
        <v>2</v>
      </c>
      <c r="I17" s="13">
        <v>2</v>
      </c>
      <c r="J17" s="17" t="s">
        <v>639</v>
      </c>
    </row>
    <row r="18" spans="1:10" ht="16.5">
      <c r="A18" s="3" t="s">
        <v>952</v>
      </c>
      <c r="B18" s="3" t="s">
        <v>953</v>
      </c>
      <c r="D18" s="24">
        <v>28</v>
      </c>
      <c r="E18" s="24">
        <v>2</v>
      </c>
      <c r="F18" s="31" t="s">
        <v>954</v>
      </c>
      <c r="G18" s="40"/>
      <c r="H18" s="8">
        <v>2</v>
      </c>
      <c r="I18" s="13">
        <v>3</v>
      </c>
      <c r="J18" s="17" t="s">
        <v>955</v>
      </c>
    </row>
    <row r="19" spans="1:10">
      <c r="A19" s="3" t="s">
        <v>956</v>
      </c>
      <c r="B19" s="3" t="s">
        <v>957</v>
      </c>
      <c r="D19" s="24">
        <v>28</v>
      </c>
      <c r="E19" s="24">
        <v>4</v>
      </c>
      <c r="F19" s="7" t="s">
        <v>917</v>
      </c>
      <c r="H19" s="8">
        <v>2</v>
      </c>
      <c r="I19" s="13">
        <v>2</v>
      </c>
      <c r="J19" s="17" t="s">
        <v>64</v>
      </c>
    </row>
    <row r="20" spans="1:10" ht="16.5">
      <c r="A20" s="3" t="s">
        <v>958</v>
      </c>
      <c r="B20" s="3" t="s">
        <v>959</v>
      </c>
      <c r="D20" s="24">
        <v>32</v>
      </c>
      <c r="E20" s="24">
        <v>2</v>
      </c>
      <c r="F20" s="31" t="s">
        <v>917</v>
      </c>
      <c r="G20" s="40"/>
      <c r="H20" s="8">
        <v>2</v>
      </c>
      <c r="I20" s="13">
        <v>2</v>
      </c>
      <c r="J20" s="17" t="s">
        <v>955</v>
      </c>
    </row>
    <row r="21" spans="1:10" ht="16.5">
      <c r="A21" s="3" t="s">
        <v>960</v>
      </c>
      <c r="B21" s="3" t="s">
        <v>961</v>
      </c>
      <c r="D21" s="24">
        <v>32</v>
      </c>
      <c r="E21" s="24">
        <v>4</v>
      </c>
      <c r="F21" s="31" t="s">
        <v>917</v>
      </c>
      <c r="G21" s="40"/>
      <c r="H21" s="8">
        <v>1</v>
      </c>
      <c r="I21" s="13">
        <v>2</v>
      </c>
      <c r="J21" s="17" t="s">
        <v>962</v>
      </c>
    </row>
    <row r="22" spans="1:10">
      <c r="A22" s="3" t="s">
        <v>963</v>
      </c>
      <c r="B22" s="3" t="s">
        <v>964</v>
      </c>
      <c r="D22" s="24">
        <v>33</v>
      </c>
      <c r="E22" s="24">
        <v>2</v>
      </c>
      <c r="F22" s="7" t="s">
        <v>917</v>
      </c>
      <c r="H22" s="8">
        <v>2</v>
      </c>
      <c r="I22" s="13">
        <v>2</v>
      </c>
      <c r="J22" s="17" t="s">
        <v>965</v>
      </c>
    </row>
    <row r="23" spans="1:10">
      <c r="A23" s="3" t="s">
        <v>966</v>
      </c>
      <c r="B23" s="3" t="s">
        <v>967</v>
      </c>
      <c r="D23" s="24">
        <v>34</v>
      </c>
      <c r="E23" s="24">
        <v>2</v>
      </c>
      <c r="F23" s="34" t="s">
        <v>968</v>
      </c>
      <c r="G23" s="43"/>
      <c r="H23" s="8">
        <v>2</v>
      </c>
      <c r="I23" s="13">
        <v>3</v>
      </c>
      <c r="J23" s="17">
        <v>1</v>
      </c>
    </row>
    <row r="24" spans="1:10" ht="16.5">
      <c r="A24" s="3" t="s">
        <v>969</v>
      </c>
      <c r="B24" s="3" t="s">
        <v>970</v>
      </c>
      <c r="D24" s="24">
        <v>34</v>
      </c>
      <c r="E24" s="24">
        <v>4</v>
      </c>
      <c r="F24" s="31" t="s">
        <v>914</v>
      </c>
      <c r="G24" s="40"/>
      <c r="H24" s="8">
        <v>2</v>
      </c>
      <c r="I24" s="13">
        <v>2</v>
      </c>
      <c r="J24" s="17">
        <v>4</v>
      </c>
    </row>
    <row r="25" spans="1:10" ht="16.5">
      <c r="A25" s="3" t="s">
        <v>971</v>
      </c>
      <c r="B25" s="3" t="s">
        <v>972</v>
      </c>
      <c r="D25" s="24">
        <v>34</v>
      </c>
      <c r="E25" s="24">
        <v>6</v>
      </c>
      <c r="F25" s="31" t="s">
        <v>973</v>
      </c>
      <c r="G25" s="40"/>
      <c r="H25" s="8">
        <v>2</v>
      </c>
      <c r="I25" s="13">
        <v>2</v>
      </c>
      <c r="J25" s="17" t="s">
        <v>43</v>
      </c>
    </row>
    <row r="26" spans="1:10" ht="16.5">
      <c r="A26" s="3" t="s">
        <v>974</v>
      </c>
      <c r="B26" s="3" t="s">
        <v>975</v>
      </c>
      <c r="D26" s="24">
        <v>34</v>
      </c>
      <c r="E26" s="24">
        <v>8</v>
      </c>
      <c r="F26" s="31" t="s">
        <v>914</v>
      </c>
      <c r="G26" s="40"/>
      <c r="H26" s="8">
        <v>5</v>
      </c>
      <c r="I26" s="13">
        <v>2</v>
      </c>
      <c r="J26" s="17" t="s">
        <v>64</v>
      </c>
    </row>
    <row r="27" spans="1:10" ht="16.5">
      <c r="A27" s="3" t="s">
        <v>976</v>
      </c>
      <c r="B27" s="3" t="s">
        <v>977</v>
      </c>
      <c r="D27" s="24">
        <v>35</v>
      </c>
      <c r="E27" s="24">
        <v>2</v>
      </c>
      <c r="F27" s="31" t="s">
        <v>978</v>
      </c>
      <c r="G27" s="40"/>
      <c r="H27" s="8">
        <v>2</v>
      </c>
      <c r="I27" s="13">
        <v>2</v>
      </c>
      <c r="J27" s="17"/>
    </row>
    <row r="28" spans="1:10" ht="16.5">
      <c r="A28" s="3" t="s">
        <v>979</v>
      </c>
      <c r="B28" s="3" t="s">
        <v>980</v>
      </c>
      <c r="D28" s="24">
        <v>35</v>
      </c>
      <c r="E28" s="24">
        <v>4</v>
      </c>
      <c r="F28" s="31" t="s">
        <v>981</v>
      </c>
      <c r="G28" s="40"/>
      <c r="H28" s="8">
        <v>2</v>
      </c>
      <c r="I28" s="13">
        <v>2</v>
      </c>
      <c r="J28" s="17" t="s">
        <v>64</v>
      </c>
    </row>
    <row r="29" spans="1:10" ht="16.5">
      <c r="A29" s="3" t="s">
        <v>982</v>
      </c>
      <c r="B29" s="3" t="s">
        <v>983</v>
      </c>
      <c r="D29" s="24">
        <v>35</v>
      </c>
      <c r="E29" s="24">
        <v>6</v>
      </c>
      <c r="F29" s="31" t="s">
        <v>973</v>
      </c>
      <c r="G29" s="40"/>
      <c r="H29" s="8">
        <v>2</v>
      </c>
      <c r="I29" s="13">
        <v>2</v>
      </c>
      <c r="J29" s="17"/>
    </row>
    <row r="30" spans="1:10" ht="16.5">
      <c r="A30" s="3" t="s">
        <v>984</v>
      </c>
      <c r="B30" s="3" t="s">
        <v>985</v>
      </c>
      <c r="D30" s="24">
        <v>36</v>
      </c>
      <c r="E30" s="24">
        <v>2</v>
      </c>
      <c r="F30" s="31" t="s">
        <v>954</v>
      </c>
      <c r="G30" s="40"/>
      <c r="H30" s="8">
        <v>4</v>
      </c>
      <c r="I30" s="13">
        <v>2</v>
      </c>
      <c r="J30" s="17" t="s">
        <v>757</v>
      </c>
    </row>
    <row r="31" spans="1:10">
      <c r="A31" s="3" t="s">
        <v>986</v>
      </c>
      <c r="B31" s="3" t="s">
        <v>987</v>
      </c>
      <c r="D31" s="24">
        <v>36</v>
      </c>
      <c r="E31" s="24">
        <v>4</v>
      </c>
      <c r="F31" s="7" t="s">
        <v>914</v>
      </c>
      <c r="H31" s="8">
        <v>2</v>
      </c>
      <c r="I31" s="13">
        <v>4</v>
      </c>
      <c r="J31" s="17" t="s">
        <v>64</v>
      </c>
    </row>
    <row r="32" spans="1:10" ht="16.5">
      <c r="A32" s="3" t="s">
        <v>988</v>
      </c>
      <c r="B32" s="3" t="s">
        <v>989</v>
      </c>
      <c r="D32" s="24">
        <v>36</v>
      </c>
      <c r="E32" s="24">
        <v>6</v>
      </c>
      <c r="F32" s="31" t="s">
        <v>990</v>
      </c>
      <c r="G32" s="40"/>
      <c r="H32" s="8">
        <v>1</v>
      </c>
      <c r="I32" s="13">
        <v>2</v>
      </c>
      <c r="J32" s="17" t="s">
        <v>991</v>
      </c>
    </row>
    <row r="33" spans="1:10" ht="16.5">
      <c r="A33" s="3" t="s">
        <v>992</v>
      </c>
      <c r="B33" s="3" t="s">
        <v>993</v>
      </c>
      <c r="D33" s="24">
        <v>37</v>
      </c>
      <c r="E33" s="24">
        <v>2</v>
      </c>
      <c r="F33" s="31" t="s">
        <v>917</v>
      </c>
      <c r="G33" s="40"/>
      <c r="H33" s="8">
        <v>2</v>
      </c>
      <c r="I33" s="13">
        <v>2</v>
      </c>
      <c r="J33" s="17" t="s">
        <v>994</v>
      </c>
    </row>
    <row r="34" spans="1:10" ht="16.5">
      <c r="A34" s="3" t="s">
        <v>995</v>
      </c>
      <c r="B34" s="3" t="s">
        <v>996</v>
      </c>
      <c r="D34" s="24">
        <v>38</v>
      </c>
      <c r="E34" s="24">
        <v>2</v>
      </c>
      <c r="F34" s="32" t="s">
        <v>997</v>
      </c>
      <c r="G34" s="41"/>
      <c r="H34" s="8">
        <v>2</v>
      </c>
      <c r="I34" s="13">
        <v>3</v>
      </c>
      <c r="J34" s="17">
        <v>4</v>
      </c>
    </row>
    <row r="35" spans="1:10" ht="16.5">
      <c r="A35" s="3" t="s">
        <v>998</v>
      </c>
      <c r="B35" s="3" t="s">
        <v>999</v>
      </c>
      <c r="D35" s="24">
        <v>39</v>
      </c>
      <c r="E35" s="24">
        <v>2</v>
      </c>
      <c r="F35" s="31" t="s">
        <v>1000</v>
      </c>
      <c r="G35" s="40"/>
      <c r="H35" s="8">
        <v>3</v>
      </c>
      <c r="I35" s="13">
        <v>3</v>
      </c>
      <c r="J35" s="17" t="s">
        <v>225</v>
      </c>
    </row>
    <row r="36" spans="1:10">
      <c r="A36" s="3" t="s">
        <v>1001</v>
      </c>
      <c r="B36" s="3" t="s">
        <v>1002</v>
      </c>
      <c r="D36" s="24">
        <v>50</v>
      </c>
      <c r="E36" s="24">
        <v>2</v>
      </c>
      <c r="F36" s="7" t="s">
        <v>917</v>
      </c>
      <c r="H36" s="8">
        <v>2</v>
      </c>
      <c r="I36" s="13">
        <v>2</v>
      </c>
      <c r="J36" s="17">
        <v>1</v>
      </c>
    </row>
    <row r="37" spans="1:10" ht="16.5">
      <c r="A37" s="3" t="s">
        <v>1003</v>
      </c>
      <c r="B37" s="3" t="s">
        <v>1004</v>
      </c>
      <c r="D37" s="24">
        <v>53</v>
      </c>
      <c r="E37" s="24">
        <v>2</v>
      </c>
      <c r="F37" s="31" t="s">
        <v>917</v>
      </c>
      <c r="G37" s="40"/>
      <c r="H37" s="8">
        <v>1</v>
      </c>
      <c r="I37" s="13">
        <v>2</v>
      </c>
      <c r="J37" s="17" t="s">
        <v>644</v>
      </c>
    </row>
    <row r="38" spans="1:10" ht="16.5">
      <c r="A38" s="3" t="s">
        <v>1005</v>
      </c>
      <c r="B38" s="3" t="s">
        <v>1006</v>
      </c>
      <c r="D38" s="24">
        <v>54</v>
      </c>
      <c r="E38" s="24">
        <v>2</v>
      </c>
      <c r="F38" s="31" t="s">
        <v>914</v>
      </c>
      <c r="G38" s="40"/>
      <c r="H38" s="8">
        <v>4</v>
      </c>
      <c r="I38" s="13">
        <v>2</v>
      </c>
      <c r="J38" s="17" t="s">
        <v>1007</v>
      </c>
    </row>
    <row r="39" spans="1:10" ht="16.5">
      <c r="A39" s="3" t="s">
        <v>1008</v>
      </c>
      <c r="B39" s="3" t="s">
        <v>1009</v>
      </c>
      <c r="D39" s="24">
        <v>55</v>
      </c>
      <c r="E39" s="24">
        <v>2</v>
      </c>
      <c r="F39" s="31" t="s">
        <v>917</v>
      </c>
      <c r="G39" s="40"/>
      <c r="H39" s="8">
        <v>4</v>
      </c>
      <c r="I39" s="13">
        <v>2</v>
      </c>
      <c r="J39" s="17" t="s">
        <v>1007</v>
      </c>
    </row>
    <row r="40" spans="1:10" ht="16.5">
      <c r="A40" s="3" t="s">
        <v>1010</v>
      </c>
      <c r="B40" s="3" t="s">
        <v>1011</v>
      </c>
      <c r="D40" s="24">
        <v>57</v>
      </c>
      <c r="E40" s="24">
        <v>2</v>
      </c>
      <c r="F40" s="31" t="s">
        <v>1012</v>
      </c>
      <c r="G40" s="40"/>
      <c r="H40" s="8">
        <v>2</v>
      </c>
      <c r="I40" s="13">
        <v>2</v>
      </c>
      <c r="J40" s="17">
        <v>4</v>
      </c>
    </row>
    <row r="41" spans="1:10" ht="16.5">
      <c r="A41" s="3" t="s">
        <v>1013</v>
      </c>
      <c r="B41" s="3" t="s">
        <v>1014</v>
      </c>
      <c r="C41" s="3" t="s">
        <v>1015</v>
      </c>
      <c r="D41" s="24">
        <v>58</v>
      </c>
      <c r="E41" s="24">
        <v>2</v>
      </c>
      <c r="F41" s="31" t="s">
        <v>954</v>
      </c>
      <c r="G41" s="40" t="s">
        <v>1016</v>
      </c>
      <c r="H41" s="8">
        <v>2</v>
      </c>
      <c r="I41" s="13">
        <v>2</v>
      </c>
      <c r="J41" s="17" t="s">
        <v>64</v>
      </c>
    </row>
    <row r="42" spans="1:10" ht="16.5">
      <c r="A42" s="3" t="s">
        <v>1017</v>
      </c>
      <c r="B42" s="3" t="s">
        <v>1018</v>
      </c>
      <c r="C42" s="3" t="s">
        <v>1019</v>
      </c>
      <c r="D42" s="24">
        <v>59</v>
      </c>
      <c r="E42" s="24">
        <v>2</v>
      </c>
      <c r="F42" s="31" t="s">
        <v>1000</v>
      </c>
      <c r="G42" s="40" t="s">
        <v>1020</v>
      </c>
      <c r="H42" s="8">
        <v>2</v>
      </c>
      <c r="I42" s="13">
        <v>2</v>
      </c>
      <c r="J42" s="17" t="s">
        <v>955</v>
      </c>
    </row>
    <row r="43" spans="1:10" ht="16.5">
      <c r="A43" s="3" t="s">
        <v>1021</v>
      </c>
      <c r="B43" s="3" t="s">
        <v>1022</v>
      </c>
      <c r="D43" s="24">
        <v>60</v>
      </c>
      <c r="E43" s="24">
        <v>2</v>
      </c>
      <c r="F43" s="31" t="s">
        <v>954</v>
      </c>
      <c r="G43" s="40"/>
      <c r="H43" s="8">
        <v>1</v>
      </c>
      <c r="I43" s="13">
        <v>3</v>
      </c>
      <c r="J43" s="17" t="s">
        <v>68</v>
      </c>
    </row>
    <row r="44" spans="1:10" ht="16.5">
      <c r="A44" s="3" t="s">
        <v>1023</v>
      </c>
      <c r="B44" s="3" t="s">
        <v>1024</v>
      </c>
      <c r="D44" s="24">
        <v>61</v>
      </c>
      <c r="E44" s="24">
        <v>2</v>
      </c>
      <c r="F44" s="31" t="s">
        <v>1012</v>
      </c>
      <c r="G44" s="40"/>
      <c r="H44" s="8">
        <v>4</v>
      </c>
      <c r="I44" s="13">
        <v>2</v>
      </c>
      <c r="J44" s="17" t="s">
        <v>757</v>
      </c>
    </row>
    <row r="45" spans="1:10" ht="16.5">
      <c r="A45" s="3" t="s">
        <v>1025</v>
      </c>
      <c r="B45" s="3" t="s">
        <v>1026</v>
      </c>
      <c r="C45" s="3" t="s">
        <v>1027</v>
      </c>
      <c r="D45" s="24">
        <v>62</v>
      </c>
      <c r="E45" s="24">
        <v>2</v>
      </c>
      <c r="F45" s="31" t="s">
        <v>1028</v>
      </c>
      <c r="G45" s="40" t="s">
        <v>1029</v>
      </c>
      <c r="H45" s="8">
        <v>2</v>
      </c>
      <c r="I45" s="13">
        <v>2</v>
      </c>
      <c r="J45" s="17" t="s">
        <v>64</v>
      </c>
    </row>
    <row r="46" spans="1:10" ht="16.5">
      <c r="A46" s="3" t="s">
        <v>1030</v>
      </c>
      <c r="B46" s="3" t="s">
        <v>1031</v>
      </c>
      <c r="C46" s="3" t="s">
        <v>1032</v>
      </c>
      <c r="D46" s="24">
        <v>63</v>
      </c>
      <c r="E46" s="24">
        <v>2</v>
      </c>
      <c r="F46" s="31" t="s">
        <v>1033</v>
      </c>
      <c r="G46" s="40" t="s">
        <v>1034</v>
      </c>
      <c r="H46" s="8">
        <v>1</v>
      </c>
      <c r="I46" s="13">
        <v>2</v>
      </c>
      <c r="J46" s="17" t="s">
        <v>134</v>
      </c>
    </row>
    <row r="47" spans="1:10" ht="16.5">
      <c r="A47" s="3" t="s">
        <v>1035</v>
      </c>
      <c r="B47" s="3" t="s">
        <v>1036</v>
      </c>
      <c r="D47" s="24">
        <v>64</v>
      </c>
      <c r="E47" s="24">
        <v>2</v>
      </c>
      <c r="F47" s="31" t="s">
        <v>1037</v>
      </c>
      <c r="G47" s="40"/>
      <c r="H47" s="8">
        <v>2</v>
      </c>
      <c r="I47" s="13">
        <v>2</v>
      </c>
      <c r="J47" s="17">
        <v>4</v>
      </c>
    </row>
    <row r="48" spans="1:10" ht="16.5">
      <c r="A48" s="3" t="s">
        <v>1038</v>
      </c>
      <c r="B48" s="3" t="s">
        <v>1039</v>
      </c>
      <c r="D48" s="24">
        <v>65</v>
      </c>
      <c r="E48" s="24">
        <v>2</v>
      </c>
      <c r="F48" s="31" t="s">
        <v>954</v>
      </c>
      <c r="G48" s="40"/>
      <c r="H48" s="8">
        <v>2</v>
      </c>
      <c r="I48" s="13">
        <v>2</v>
      </c>
      <c r="J48" s="17" t="s">
        <v>639</v>
      </c>
    </row>
    <row r="49" spans="1:10" ht="16.5">
      <c r="A49" s="3" t="s">
        <v>1040</v>
      </c>
      <c r="B49" s="3" t="s">
        <v>1041</v>
      </c>
      <c r="D49" s="24">
        <v>66</v>
      </c>
      <c r="E49" s="24">
        <v>2</v>
      </c>
      <c r="F49" s="31" t="s">
        <v>1042</v>
      </c>
      <c r="G49" s="40"/>
      <c r="H49" s="8">
        <v>2</v>
      </c>
      <c r="I49" s="13">
        <v>2</v>
      </c>
      <c r="J49" s="17">
        <v>2</v>
      </c>
    </row>
    <row r="50" spans="1:10" ht="16.5">
      <c r="A50" s="3" t="s">
        <v>1043</v>
      </c>
      <c r="B50" s="3" t="s">
        <v>1044</v>
      </c>
      <c r="D50" s="24">
        <v>67</v>
      </c>
      <c r="E50" s="24">
        <v>2</v>
      </c>
      <c r="F50" s="31" t="s">
        <v>1042</v>
      </c>
      <c r="G50" s="40"/>
      <c r="H50" s="8">
        <v>2</v>
      </c>
      <c r="I50" s="13">
        <v>2</v>
      </c>
      <c r="J50" s="17">
        <v>4</v>
      </c>
    </row>
    <row r="51" spans="1:10" ht="16.5">
      <c r="A51" s="3" t="s">
        <v>1045</v>
      </c>
      <c r="B51" s="3" t="s">
        <v>1046</v>
      </c>
      <c r="D51" s="24">
        <v>68</v>
      </c>
      <c r="E51" s="24">
        <v>2</v>
      </c>
      <c r="F51" s="31" t="s">
        <v>1047</v>
      </c>
      <c r="G51" s="40"/>
      <c r="H51" s="8">
        <v>2</v>
      </c>
      <c r="I51" s="13">
        <v>2</v>
      </c>
      <c r="J51" s="17">
        <v>4</v>
      </c>
    </row>
    <row r="52" spans="1:10" ht="16.5">
      <c r="A52" s="3" t="s">
        <v>1048</v>
      </c>
      <c r="B52" s="3" t="s">
        <v>1049</v>
      </c>
      <c r="D52" s="24">
        <v>69</v>
      </c>
      <c r="E52" s="24">
        <v>2</v>
      </c>
      <c r="F52" s="31" t="s">
        <v>1050</v>
      </c>
      <c r="G52" s="40"/>
      <c r="H52" s="8">
        <v>2</v>
      </c>
      <c r="I52" s="13">
        <v>4</v>
      </c>
      <c r="J52" s="17" t="s">
        <v>214</v>
      </c>
    </row>
    <row r="53" spans="1:10" ht="16.5">
      <c r="A53" s="3" t="s">
        <v>1051</v>
      </c>
      <c r="B53" s="3" t="s">
        <v>1052</v>
      </c>
      <c r="D53" s="24">
        <v>70</v>
      </c>
      <c r="E53" s="24">
        <v>2</v>
      </c>
      <c r="F53" s="31" t="s">
        <v>1053</v>
      </c>
      <c r="G53" s="40"/>
      <c r="H53" s="8">
        <v>4</v>
      </c>
      <c r="I53" s="13">
        <v>2</v>
      </c>
      <c r="J53" s="17" t="s">
        <v>68</v>
      </c>
    </row>
    <row r="54" spans="1:10" ht="16.5">
      <c r="A54" s="3" t="s">
        <v>1054</v>
      </c>
      <c r="B54" s="3" t="s">
        <v>1055</v>
      </c>
      <c r="D54" s="24">
        <v>71</v>
      </c>
      <c r="E54" s="24">
        <v>2</v>
      </c>
      <c r="F54" s="31" t="s">
        <v>1050</v>
      </c>
      <c r="G54" s="40"/>
      <c r="H54" s="8">
        <v>1</v>
      </c>
      <c r="I54" s="13">
        <v>2</v>
      </c>
      <c r="J54" s="17" t="s">
        <v>68</v>
      </c>
    </row>
    <row r="55" spans="1:10" ht="16.5">
      <c r="A55" s="3" t="s">
        <v>1056</v>
      </c>
      <c r="B55" s="3" t="s">
        <v>1057</v>
      </c>
      <c r="D55" s="24">
        <v>72</v>
      </c>
      <c r="E55" s="24">
        <v>2</v>
      </c>
      <c r="F55" s="31" t="s">
        <v>1053</v>
      </c>
      <c r="G55" s="40"/>
      <c r="H55" s="8">
        <v>4</v>
      </c>
      <c r="I55" s="13">
        <v>3</v>
      </c>
      <c r="J55" s="17" t="s">
        <v>757</v>
      </c>
    </row>
    <row r="56" spans="1:10" ht="16.5">
      <c r="A56" s="3" t="s">
        <v>1058</v>
      </c>
      <c r="B56" s="3" t="s">
        <v>1059</v>
      </c>
      <c r="D56" s="24">
        <v>73</v>
      </c>
      <c r="E56" s="24">
        <v>2</v>
      </c>
      <c r="F56" s="31" t="s">
        <v>954</v>
      </c>
      <c r="G56" s="40"/>
      <c r="H56" s="8">
        <v>2</v>
      </c>
      <c r="I56" s="13">
        <v>3</v>
      </c>
      <c r="J56" s="17">
        <v>1</v>
      </c>
    </row>
    <row r="57" spans="1:10" ht="16.5">
      <c r="A57" s="3" t="s">
        <v>1060</v>
      </c>
      <c r="B57" s="3" t="s">
        <v>1061</v>
      </c>
      <c r="D57" s="24">
        <v>74</v>
      </c>
      <c r="E57" s="24">
        <v>2</v>
      </c>
      <c r="F57" s="31" t="s">
        <v>1037</v>
      </c>
      <c r="G57" s="40"/>
      <c r="H57" s="8">
        <v>2</v>
      </c>
      <c r="I57" s="13">
        <v>2</v>
      </c>
      <c r="J57" s="17" t="s">
        <v>469</v>
      </c>
    </row>
    <row r="58" spans="1:10" ht="16.5">
      <c r="A58" s="3" t="s">
        <v>1062</v>
      </c>
      <c r="B58" s="3" t="s">
        <v>1063</v>
      </c>
      <c r="D58" s="24">
        <v>75</v>
      </c>
      <c r="E58" s="24">
        <v>2</v>
      </c>
      <c r="F58" s="31" t="s">
        <v>1037</v>
      </c>
      <c r="G58" s="40"/>
      <c r="H58" s="8">
        <v>1</v>
      </c>
      <c r="I58" s="13">
        <v>1</v>
      </c>
      <c r="J58" s="17" t="s">
        <v>78</v>
      </c>
    </row>
    <row r="59" spans="1:10" ht="16.5">
      <c r="A59" s="3" t="s">
        <v>1064</v>
      </c>
      <c r="B59" s="3" t="s">
        <v>1065</v>
      </c>
      <c r="D59" s="24">
        <v>76</v>
      </c>
      <c r="E59" s="24">
        <v>2</v>
      </c>
      <c r="F59" s="31" t="s">
        <v>1050</v>
      </c>
      <c r="G59" s="40"/>
      <c r="H59" s="8">
        <v>4</v>
      </c>
      <c r="I59" s="13">
        <v>2</v>
      </c>
      <c r="J59" s="17" t="s">
        <v>68</v>
      </c>
    </row>
    <row r="60" spans="1:10" ht="16.5">
      <c r="A60" s="3" t="s">
        <v>1066</v>
      </c>
      <c r="B60" s="3" t="s">
        <v>1067</v>
      </c>
      <c r="D60" s="24">
        <v>77</v>
      </c>
      <c r="E60" s="24">
        <v>2</v>
      </c>
      <c r="F60" s="31" t="s">
        <v>1050</v>
      </c>
      <c r="G60" s="40"/>
      <c r="H60" s="8">
        <v>2</v>
      </c>
      <c r="I60" s="13">
        <v>2</v>
      </c>
      <c r="J60" s="17" t="s">
        <v>639</v>
      </c>
    </row>
    <row r="61" spans="1:10" ht="16.5">
      <c r="A61" s="3" t="s">
        <v>1068</v>
      </c>
      <c r="B61" s="3" t="s">
        <v>1069</v>
      </c>
      <c r="D61" s="24">
        <v>78</v>
      </c>
      <c r="E61" s="24">
        <v>2</v>
      </c>
      <c r="F61" s="31" t="s">
        <v>1000</v>
      </c>
      <c r="G61" s="40"/>
      <c r="H61" s="8">
        <v>4</v>
      </c>
      <c r="I61" s="13">
        <v>2</v>
      </c>
      <c r="J61" s="17" t="s">
        <v>102</v>
      </c>
    </row>
    <row r="62" spans="1:10" ht="16.5">
      <c r="A62" s="3" t="s">
        <v>1070</v>
      </c>
      <c r="B62" s="3" t="s">
        <v>1071</v>
      </c>
      <c r="D62" s="24">
        <v>79</v>
      </c>
      <c r="E62" s="24">
        <v>2</v>
      </c>
      <c r="F62" s="31" t="s">
        <v>1072</v>
      </c>
      <c r="G62" s="40"/>
      <c r="H62" s="8">
        <v>2</v>
      </c>
      <c r="I62" s="13">
        <v>2</v>
      </c>
      <c r="J62" s="17">
        <v>4</v>
      </c>
    </row>
    <row r="63" spans="1:10" ht="16.5">
      <c r="A63" s="3" t="s">
        <v>1073</v>
      </c>
      <c r="B63" s="3" t="s">
        <v>1074</v>
      </c>
      <c r="D63" s="24">
        <v>80</v>
      </c>
      <c r="E63" s="24">
        <v>2</v>
      </c>
      <c r="F63" s="31" t="s">
        <v>1012</v>
      </c>
      <c r="G63" s="40"/>
      <c r="H63" s="8">
        <v>2</v>
      </c>
      <c r="I63" s="13">
        <v>2</v>
      </c>
      <c r="J63" s="17" t="s">
        <v>43</v>
      </c>
    </row>
    <row r="64" spans="1:10" ht="16.5">
      <c r="A64" s="3" t="s">
        <v>1073</v>
      </c>
      <c r="B64" s="3" t="s">
        <v>1074</v>
      </c>
      <c r="D64" s="24">
        <v>81</v>
      </c>
      <c r="E64" s="24">
        <v>2</v>
      </c>
      <c r="F64" s="31" t="s">
        <v>1000</v>
      </c>
      <c r="G64" s="40"/>
      <c r="H64" s="8">
        <v>2</v>
      </c>
      <c r="I64" s="13">
        <v>2</v>
      </c>
      <c r="J64" s="17" t="s">
        <v>43</v>
      </c>
    </row>
    <row r="65" spans="1:10" ht="16.5">
      <c r="A65" s="3" t="s">
        <v>1075</v>
      </c>
      <c r="B65" s="3" t="s">
        <v>1076</v>
      </c>
      <c r="D65" s="24">
        <v>82</v>
      </c>
      <c r="E65" s="24">
        <v>2</v>
      </c>
      <c r="F65" s="31" t="s">
        <v>1000</v>
      </c>
      <c r="G65" s="40"/>
      <c r="H65" s="8">
        <v>2</v>
      </c>
      <c r="I65" s="13">
        <v>2</v>
      </c>
      <c r="J65" s="17" t="s">
        <v>43</v>
      </c>
    </row>
    <row r="66" spans="1:10" ht="16.5">
      <c r="A66" s="3" t="s">
        <v>1077</v>
      </c>
      <c r="B66" s="3" t="s">
        <v>1078</v>
      </c>
      <c r="D66" s="24">
        <v>85</v>
      </c>
      <c r="E66" s="24">
        <v>2</v>
      </c>
      <c r="F66" s="31" t="s">
        <v>1000</v>
      </c>
      <c r="G66" s="40"/>
      <c r="H66" s="8">
        <v>4</v>
      </c>
      <c r="I66" s="13">
        <v>2</v>
      </c>
      <c r="J66" s="17" t="s">
        <v>1007</v>
      </c>
    </row>
    <row r="67" spans="1:10" ht="16.5">
      <c r="A67" s="3" t="s">
        <v>1079</v>
      </c>
      <c r="B67" s="3" t="s">
        <v>1080</v>
      </c>
      <c r="D67" s="24">
        <v>86</v>
      </c>
      <c r="E67" s="24">
        <v>2</v>
      </c>
      <c r="F67" s="31" t="s">
        <v>1042</v>
      </c>
      <c r="G67" s="40"/>
      <c r="H67" s="8">
        <v>1</v>
      </c>
      <c r="I67" s="13">
        <v>2</v>
      </c>
      <c r="J67" s="17" t="s">
        <v>1007</v>
      </c>
    </row>
    <row r="68" spans="1:10" ht="16.5">
      <c r="A68" s="3" t="s">
        <v>1081</v>
      </c>
      <c r="B68" s="3" t="s">
        <v>1082</v>
      </c>
      <c r="D68" s="24">
        <v>87</v>
      </c>
      <c r="E68" s="24">
        <v>2</v>
      </c>
      <c r="F68" s="31" t="s">
        <v>1042</v>
      </c>
      <c r="G68" s="40"/>
      <c r="H68" s="8">
        <v>2</v>
      </c>
      <c r="I68" s="13">
        <v>2</v>
      </c>
      <c r="J68" s="17">
        <v>1</v>
      </c>
    </row>
    <row r="69" spans="1:10" ht="16.5">
      <c r="A69" s="3" t="s">
        <v>1083</v>
      </c>
      <c r="B69" s="3" t="s">
        <v>1084</v>
      </c>
      <c r="D69" s="24">
        <v>89</v>
      </c>
      <c r="E69" s="24">
        <v>2</v>
      </c>
      <c r="F69" s="31" t="s">
        <v>1042</v>
      </c>
      <c r="G69" s="40"/>
      <c r="H69" s="8">
        <v>2</v>
      </c>
      <c r="I69" s="13">
        <v>2</v>
      </c>
      <c r="J69" s="17">
        <v>4</v>
      </c>
    </row>
    <row r="70" spans="1:10" ht="16.5">
      <c r="A70" s="3" t="s">
        <v>1085</v>
      </c>
      <c r="B70" s="3" t="s">
        <v>1086</v>
      </c>
      <c r="D70" s="24">
        <v>90</v>
      </c>
      <c r="E70" s="24">
        <v>2</v>
      </c>
      <c r="F70" s="31" t="s">
        <v>1050</v>
      </c>
      <c r="G70" s="40"/>
      <c r="H70" s="8">
        <v>2</v>
      </c>
      <c r="I70" s="13">
        <v>2</v>
      </c>
      <c r="J70" s="17" t="s">
        <v>64</v>
      </c>
    </row>
    <row r="71" spans="1:10" ht="16.5">
      <c r="A71" s="3" t="s">
        <v>1087</v>
      </c>
      <c r="B71" s="3" t="s">
        <v>1088</v>
      </c>
      <c r="D71" s="24">
        <v>90</v>
      </c>
      <c r="E71" s="24">
        <v>4</v>
      </c>
      <c r="F71" s="31" t="s">
        <v>954</v>
      </c>
      <c r="G71" s="40"/>
      <c r="H71" s="8">
        <v>3</v>
      </c>
      <c r="I71" s="13">
        <v>2</v>
      </c>
      <c r="J71" s="17">
        <v>4</v>
      </c>
    </row>
    <row r="72" spans="1:10" ht="16.5">
      <c r="A72" s="3" t="s">
        <v>1089</v>
      </c>
      <c r="B72" s="3" t="s">
        <v>1090</v>
      </c>
      <c r="D72" s="24">
        <v>91</v>
      </c>
      <c r="E72" s="24">
        <v>2</v>
      </c>
      <c r="F72" s="31" t="s">
        <v>1050</v>
      </c>
      <c r="G72" s="40"/>
      <c r="H72" s="8">
        <v>2</v>
      </c>
      <c r="I72" s="13">
        <v>2</v>
      </c>
      <c r="J72" s="17">
        <v>1</v>
      </c>
    </row>
    <row r="73" spans="1:10" ht="16.5">
      <c r="A73" s="3" t="s">
        <v>1091</v>
      </c>
      <c r="B73" s="3" t="s">
        <v>1092</v>
      </c>
      <c r="D73" s="24">
        <v>99</v>
      </c>
      <c r="E73" s="24">
        <v>2</v>
      </c>
      <c r="F73" s="31" t="s">
        <v>917</v>
      </c>
      <c r="G73" s="40"/>
      <c r="H73" s="8">
        <v>2</v>
      </c>
      <c r="I73" s="13">
        <v>2</v>
      </c>
      <c r="J73" s="17">
        <v>1</v>
      </c>
    </row>
    <row r="74" spans="1:10">
      <c r="A74" s="3" t="s">
        <v>1093</v>
      </c>
      <c r="B74" s="3" t="s">
        <v>1094</v>
      </c>
      <c r="D74" s="24">
        <v>99</v>
      </c>
      <c r="E74" s="24">
        <v>4</v>
      </c>
      <c r="F74" s="7" t="s">
        <v>1020</v>
      </c>
      <c r="H74" s="8">
        <v>2</v>
      </c>
      <c r="I74" s="13">
        <v>2</v>
      </c>
      <c r="J74" s="17" t="s">
        <v>64</v>
      </c>
    </row>
    <row r="75" spans="1:10" ht="16.5">
      <c r="A75" s="3" t="s">
        <v>1095</v>
      </c>
      <c r="B75" s="3" t="s">
        <v>1096</v>
      </c>
      <c r="D75" s="24">
        <v>99</v>
      </c>
      <c r="E75" s="24">
        <v>6</v>
      </c>
      <c r="F75" s="31" t="s">
        <v>973</v>
      </c>
      <c r="G75" s="40"/>
      <c r="H75" s="8">
        <v>2</v>
      </c>
      <c r="I75" s="13">
        <v>2</v>
      </c>
      <c r="J75" s="17"/>
    </row>
    <row r="76" spans="1:10" ht="16.5">
      <c r="A76" s="3" t="s">
        <v>1097</v>
      </c>
      <c r="B76" s="3" t="s">
        <v>1098</v>
      </c>
      <c r="D76" s="24">
        <v>101</v>
      </c>
      <c r="E76" s="24">
        <v>2</v>
      </c>
      <c r="F76" s="31" t="s">
        <v>917</v>
      </c>
      <c r="G76" s="40"/>
      <c r="H76" s="8">
        <v>2</v>
      </c>
      <c r="I76" s="13">
        <v>2</v>
      </c>
      <c r="J76" s="17">
        <v>2</v>
      </c>
    </row>
    <row r="77" spans="1:10" ht="16.5">
      <c r="A77" s="3" t="s">
        <v>1099</v>
      </c>
      <c r="B77" s="3" t="s">
        <v>1100</v>
      </c>
      <c r="D77" s="24">
        <v>101</v>
      </c>
      <c r="E77" s="24">
        <v>4</v>
      </c>
      <c r="F77" s="31" t="s">
        <v>914</v>
      </c>
      <c r="G77" s="40"/>
      <c r="H77" s="8">
        <v>4</v>
      </c>
      <c r="I77" s="13">
        <v>2</v>
      </c>
      <c r="J77" s="17" t="s">
        <v>1101</v>
      </c>
    </row>
    <row r="78" spans="1:10" ht="16.5">
      <c r="A78" s="3" t="s">
        <v>1102</v>
      </c>
      <c r="B78" s="3" t="s">
        <v>1103</v>
      </c>
      <c r="D78" s="24">
        <v>101</v>
      </c>
      <c r="E78" s="24">
        <v>6</v>
      </c>
      <c r="F78" s="31" t="s">
        <v>1104</v>
      </c>
      <c r="G78" s="40"/>
      <c r="H78" s="8">
        <v>2</v>
      </c>
      <c r="I78" s="13">
        <v>2</v>
      </c>
      <c r="J78" s="17" t="s">
        <v>965</v>
      </c>
    </row>
    <row r="79" spans="1:10" ht="16.5">
      <c r="A79" s="3" t="s">
        <v>1105</v>
      </c>
      <c r="B79" s="3" t="s">
        <v>1106</v>
      </c>
      <c r="D79" s="24">
        <v>116</v>
      </c>
      <c r="E79" s="24">
        <v>2</v>
      </c>
      <c r="F79" s="31" t="s">
        <v>1028</v>
      </c>
      <c r="G79" s="40"/>
      <c r="H79" s="8">
        <v>2</v>
      </c>
      <c r="I79" s="13">
        <v>2</v>
      </c>
      <c r="J79" s="17" t="s">
        <v>64</v>
      </c>
    </row>
    <row r="80" spans="1:10" ht="16.5">
      <c r="A80" s="3" t="s">
        <v>1107</v>
      </c>
      <c r="B80" s="3" t="s">
        <v>1108</v>
      </c>
      <c r="D80" s="24">
        <v>116</v>
      </c>
      <c r="E80" s="24">
        <v>4</v>
      </c>
      <c r="F80" s="31" t="s">
        <v>1050</v>
      </c>
      <c r="G80" s="40"/>
      <c r="H80" s="8">
        <v>2</v>
      </c>
      <c r="I80" s="13">
        <v>2</v>
      </c>
      <c r="J80" s="17" t="s">
        <v>64</v>
      </c>
    </row>
    <row r="81" spans="8:8">
      <c r="H81" s="9"/>
    </row>
    <row r="82" spans="8:8">
      <c r="H82" s="10"/>
    </row>
    <row r="84" spans="8:8">
      <c r="H84" s="10"/>
    </row>
    <row r="85" spans="8:8">
      <c r="H8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81E-8613-4D42-BBAA-A515A4E6E5C4}">
  <dimension ref="A1:M89"/>
  <sheetViews>
    <sheetView topLeftCell="B1" zoomScale="115" zoomScaleNormal="115" workbookViewId="0">
      <selection activeCell="C4" sqref="C4"/>
    </sheetView>
  </sheetViews>
  <sheetFormatPr defaultRowHeight="15.75"/>
  <cols>
    <col min="1" max="1" width="43.42578125" style="5" customWidth="1"/>
    <col min="2" max="2" width="53.42578125" style="3" bestFit="1" customWidth="1"/>
    <col min="3" max="3" width="41" style="3" customWidth="1"/>
    <col min="4" max="4" width="9.28515625" style="23" bestFit="1" customWidth="1"/>
    <col min="5" max="5" width="6" style="23" customWidth="1"/>
    <col min="6" max="6" width="14.28515625" style="36" customWidth="1"/>
    <col min="7" max="7" width="11.28515625" style="39" customWidth="1"/>
    <col min="8" max="8" width="9.140625" style="88"/>
    <col min="9" max="9" width="15.28515625" style="95" customWidth="1"/>
    <col min="10" max="10" width="9.140625" style="114"/>
    <col min="11" max="11" width="12.5703125" style="89" bestFit="1" customWidth="1"/>
    <col min="12" max="12" width="10.7109375" style="25" customWidth="1"/>
    <col min="13" max="13" width="11.5703125" style="27" customWidth="1"/>
  </cols>
  <sheetData>
    <row r="1" spans="1:13" s="4" customFormat="1" ht="18.75">
      <c r="A1" s="209" t="s">
        <v>1109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1:13" s="100" customFormat="1" ht="63">
      <c r="A2" s="71" t="s">
        <v>1</v>
      </c>
      <c r="B2" s="44" t="s">
        <v>2</v>
      </c>
      <c r="C2" s="44" t="s">
        <v>3</v>
      </c>
      <c r="D2" s="6" t="s">
        <v>4</v>
      </c>
      <c r="E2" s="6" t="s">
        <v>5</v>
      </c>
      <c r="F2" s="30" t="s">
        <v>908</v>
      </c>
      <c r="G2" s="11" t="s">
        <v>8</v>
      </c>
      <c r="H2" s="96" t="s">
        <v>1110</v>
      </c>
      <c r="I2" s="108" t="s">
        <v>13</v>
      </c>
      <c r="J2" s="109" t="s">
        <v>1111</v>
      </c>
      <c r="K2" s="97" t="s">
        <v>1112</v>
      </c>
      <c r="L2" s="98" t="s">
        <v>1113</v>
      </c>
      <c r="M2" s="99" t="s">
        <v>15</v>
      </c>
    </row>
    <row r="3" spans="1:13" s="100" customFormat="1" ht="90">
      <c r="A3" s="196" t="s">
        <v>16</v>
      </c>
      <c r="B3" s="3"/>
      <c r="C3" s="165" t="s">
        <v>17</v>
      </c>
      <c r="D3" s="101"/>
      <c r="E3" s="101"/>
      <c r="F3" s="102"/>
      <c r="G3" s="103"/>
      <c r="H3" s="104"/>
      <c r="I3" s="91" t="s">
        <v>29</v>
      </c>
      <c r="J3" s="110"/>
      <c r="K3" s="105"/>
      <c r="L3" s="106"/>
      <c r="M3" s="107"/>
    </row>
    <row r="4" spans="1:13">
      <c r="A4" s="5" t="s">
        <v>1114</v>
      </c>
      <c r="B4" s="5" t="s">
        <v>1115</v>
      </c>
      <c r="D4" s="24">
        <v>1</v>
      </c>
      <c r="E4" s="24">
        <v>1</v>
      </c>
      <c r="F4" s="29" t="s">
        <v>1116</v>
      </c>
      <c r="G4" s="37"/>
      <c r="H4" s="13">
        <v>7</v>
      </c>
      <c r="I4" s="92">
        <v>5</v>
      </c>
      <c r="J4" s="111">
        <v>0</v>
      </c>
      <c r="K4" s="15"/>
      <c r="L4" s="26">
        <v>1</v>
      </c>
      <c r="M4" s="28">
        <v>3</v>
      </c>
    </row>
    <row r="5" spans="1:13">
      <c r="A5" s="5" t="s">
        <v>1117</v>
      </c>
      <c r="B5" s="5" t="s">
        <v>1118</v>
      </c>
      <c r="D5" s="24">
        <v>1</v>
      </c>
      <c r="E5" s="24">
        <v>2</v>
      </c>
      <c r="F5" s="29" t="s">
        <v>1119</v>
      </c>
      <c r="G5" s="37"/>
      <c r="H5" s="13">
        <v>7</v>
      </c>
      <c r="I5" s="92">
        <v>3</v>
      </c>
      <c r="J5" s="111">
        <v>0</v>
      </c>
      <c r="K5" s="15"/>
      <c r="L5" s="26">
        <v>1</v>
      </c>
      <c r="M5" s="28">
        <v>5</v>
      </c>
    </row>
    <row r="6" spans="1:13">
      <c r="A6" s="5" t="s">
        <v>1120</v>
      </c>
      <c r="B6" s="5" t="s">
        <v>1121</v>
      </c>
      <c r="D6" s="24">
        <v>11</v>
      </c>
      <c r="E6" s="24">
        <v>1</v>
      </c>
      <c r="F6" s="29" t="s">
        <v>1122</v>
      </c>
      <c r="G6" s="37"/>
      <c r="H6" s="13">
        <v>5</v>
      </c>
      <c r="I6" s="92">
        <v>2</v>
      </c>
      <c r="J6" s="111">
        <v>1</v>
      </c>
      <c r="K6" s="15"/>
      <c r="L6" s="26">
        <v>1</v>
      </c>
      <c r="M6" s="28">
        <v>1</v>
      </c>
    </row>
    <row r="7" spans="1:13">
      <c r="A7" s="5" t="s">
        <v>1123</v>
      </c>
      <c r="B7" s="5" t="s">
        <v>1124</v>
      </c>
      <c r="D7" s="24">
        <v>11</v>
      </c>
      <c r="E7" s="24">
        <v>2</v>
      </c>
      <c r="F7" s="29" t="s">
        <v>1125</v>
      </c>
      <c r="G7" s="37"/>
      <c r="H7" s="13">
        <v>5</v>
      </c>
      <c r="I7" s="92">
        <v>4</v>
      </c>
      <c r="J7" s="111">
        <v>1</v>
      </c>
      <c r="K7" s="15"/>
      <c r="L7" s="26"/>
      <c r="M7" s="28" t="s">
        <v>221</v>
      </c>
    </row>
    <row r="8" spans="1:13">
      <c r="A8" s="5" t="s">
        <v>1126</v>
      </c>
      <c r="B8" s="5" t="s">
        <v>1127</v>
      </c>
      <c r="D8" s="24">
        <v>11</v>
      </c>
      <c r="E8" s="24">
        <v>3</v>
      </c>
      <c r="F8" s="29" t="s">
        <v>1128</v>
      </c>
      <c r="G8" s="37"/>
      <c r="H8" s="13">
        <v>5</v>
      </c>
      <c r="I8" s="92">
        <v>4</v>
      </c>
      <c r="J8" s="111">
        <v>1</v>
      </c>
      <c r="K8" s="15"/>
      <c r="L8" s="26">
        <v>1</v>
      </c>
      <c r="M8" s="28" t="s">
        <v>955</v>
      </c>
    </row>
    <row r="9" spans="1:13">
      <c r="A9" s="5" t="s">
        <v>1129</v>
      </c>
      <c r="B9" s="5" t="s">
        <v>1130</v>
      </c>
      <c r="D9" s="24">
        <v>11</v>
      </c>
      <c r="E9" s="24">
        <v>4</v>
      </c>
      <c r="F9" s="29" t="s">
        <v>1131</v>
      </c>
      <c r="G9" s="37"/>
      <c r="H9" s="85">
        <v>5</v>
      </c>
      <c r="I9" s="93">
        <v>2</v>
      </c>
      <c r="J9" s="112">
        <v>1</v>
      </c>
      <c r="K9" s="15">
        <v>1</v>
      </c>
      <c r="L9" s="26">
        <v>1</v>
      </c>
      <c r="M9" s="28">
        <v>2</v>
      </c>
    </row>
    <row r="10" spans="1:13">
      <c r="A10" s="5" t="s">
        <v>1132</v>
      </c>
      <c r="B10" s="5" t="s">
        <v>1133</v>
      </c>
      <c r="D10" s="24">
        <v>105</v>
      </c>
      <c r="E10" s="24">
        <v>1</v>
      </c>
      <c r="F10" s="29" t="s">
        <v>1134</v>
      </c>
      <c r="G10" s="37"/>
      <c r="H10" s="13">
        <v>7</v>
      </c>
      <c r="I10" s="92">
        <v>3</v>
      </c>
      <c r="J10" s="111">
        <v>0</v>
      </c>
      <c r="K10" s="15"/>
      <c r="L10" s="26">
        <v>1</v>
      </c>
      <c r="M10" s="28" t="s">
        <v>923</v>
      </c>
    </row>
    <row r="11" spans="1:13">
      <c r="A11" s="5" t="s">
        <v>1135</v>
      </c>
      <c r="B11" s="5" t="s">
        <v>1136</v>
      </c>
      <c r="D11" s="24">
        <v>105</v>
      </c>
      <c r="E11" s="24">
        <v>2</v>
      </c>
      <c r="F11" s="29" t="s">
        <v>1137</v>
      </c>
      <c r="G11" s="37"/>
      <c r="H11" s="13">
        <v>7</v>
      </c>
      <c r="I11" s="92">
        <v>3</v>
      </c>
      <c r="J11" s="111">
        <v>0</v>
      </c>
      <c r="K11" s="15"/>
      <c r="L11" s="26">
        <v>1</v>
      </c>
      <c r="M11" s="28">
        <v>2</v>
      </c>
    </row>
    <row r="12" spans="1:13">
      <c r="A12" s="5" t="s">
        <v>1138</v>
      </c>
      <c r="B12" s="3" t="s">
        <v>1139</v>
      </c>
      <c r="D12" s="24">
        <v>105</v>
      </c>
      <c r="E12" s="24">
        <v>3</v>
      </c>
      <c r="F12" s="29" t="s">
        <v>1119</v>
      </c>
      <c r="G12" s="37"/>
      <c r="H12" s="13">
        <v>5</v>
      </c>
      <c r="I12" s="92">
        <v>2</v>
      </c>
      <c r="J12" s="111">
        <v>1</v>
      </c>
      <c r="K12" s="15"/>
      <c r="L12" s="26">
        <v>1</v>
      </c>
      <c r="M12" s="28" t="s">
        <v>994</v>
      </c>
    </row>
    <row r="13" spans="1:13">
      <c r="A13" s="5" t="s">
        <v>1140</v>
      </c>
      <c r="B13" s="3" t="s">
        <v>1141</v>
      </c>
      <c r="D13" s="24">
        <v>105</v>
      </c>
      <c r="E13" s="24">
        <v>4</v>
      </c>
      <c r="F13" s="29" t="s">
        <v>1142</v>
      </c>
      <c r="G13" s="37"/>
      <c r="H13" s="13">
        <v>7</v>
      </c>
      <c r="I13" s="92">
        <v>3</v>
      </c>
      <c r="J13" s="111">
        <v>0</v>
      </c>
      <c r="K13" s="15"/>
      <c r="L13" s="26">
        <v>1</v>
      </c>
      <c r="M13" s="28">
        <v>1</v>
      </c>
    </row>
    <row r="14" spans="1:13">
      <c r="A14" s="5" t="s">
        <v>1143</v>
      </c>
      <c r="B14" s="3" t="s">
        <v>1144</v>
      </c>
      <c r="D14" s="24">
        <v>105</v>
      </c>
      <c r="E14" s="24">
        <v>5</v>
      </c>
      <c r="F14" s="29" t="s">
        <v>1145</v>
      </c>
      <c r="G14" s="37"/>
      <c r="H14" s="13">
        <v>5</v>
      </c>
      <c r="I14" s="92">
        <v>1</v>
      </c>
      <c r="J14" s="111">
        <v>1</v>
      </c>
      <c r="K14" s="15">
        <v>1</v>
      </c>
      <c r="L14" s="26">
        <v>1</v>
      </c>
      <c r="M14" s="28" t="s">
        <v>564</v>
      </c>
    </row>
    <row r="15" spans="1:13">
      <c r="A15" s="5" t="s">
        <v>1146</v>
      </c>
      <c r="B15" s="3" t="s">
        <v>1147</v>
      </c>
      <c r="D15" s="24">
        <v>105</v>
      </c>
      <c r="E15" s="24">
        <v>6</v>
      </c>
      <c r="F15" s="29" t="s">
        <v>1119</v>
      </c>
      <c r="G15" s="37"/>
      <c r="H15" s="13">
        <v>7</v>
      </c>
      <c r="I15" s="92">
        <v>3</v>
      </c>
      <c r="J15" s="111">
        <v>0</v>
      </c>
      <c r="K15" s="15"/>
      <c r="L15" s="26">
        <v>1</v>
      </c>
      <c r="M15" s="28" t="s">
        <v>93</v>
      </c>
    </row>
    <row r="16" spans="1:13">
      <c r="A16" s="5" t="s">
        <v>1148</v>
      </c>
      <c r="B16" s="3" t="s">
        <v>1149</v>
      </c>
      <c r="D16" s="24">
        <v>105</v>
      </c>
      <c r="E16" s="24">
        <v>7</v>
      </c>
      <c r="F16" s="29" t="s">
        <v>1150</v>
      </c>
      <c r="G16" s="37"/>
      <c r="H16" s="13">
        <v>7</v>
      </c>
      <c r="I16" s="92">
        <v>3</v>
      </c>
      <c r="J16" s="111">
        <v>0</v>
      </c>
      <c r="K16" s="15">
        <v>1</v>
      </c>
      <c r="L16" s="26">
        <v>1</v>
      </c>
      <c r="M16" s="28" t="s">
        <v>389</v>
      </c>
    </row>
    <row r="17" spans="1:13">
      <c r="A17" s="5" t="s">
        <v>1151</v>
      </c>
      <c r="B17" s="3" t="s">
        <v>1152</v>
      </c>
      <c r="D17" s="24">
        <v>106</v>
      </c>
      <c r="E17" s="24">
        <v>1</v>
      </c>
      <c r="F17" s="29" t="s">
        <v>1145</v>
      </c>
      <c r="G17" s="37"/>
      <c r="H17" s="13">
        <v>5</v>
      </c>
      <c r="I17" s="92">
        <v>1</v>
      </c>
      <c r="J17" s="111">
        <v>1</v>
      </c>
      <c r="K17" s="15"/>
      <c r="L17" s="26">
        <v>1</v>
      </c>
      <c r="M17" s="28">
        <v>3</v>
      </c>
    </row>
    <row r="18" spans="1:13">
      <c r="A18" s="5" t="s">
        <v>1153</v>
      </c>
      <c r="B18" s="3" t="s">
        <v>1154</v>
      </c>
      <c r="D18" s="24">
        <v>106</v>
      </c>
      <c r="E18" s="24">
        <v>2</v>
      </c>
      <c r="F18" s="29" t="s">
        <v>1134</v>
      </c>
      <c r="G18" s="37"/>
      <c r="H18" s="13">
        <v>7</v>
      </c>
      <c r="I18" s="92">
        <v>3</v>
      </c>
      <c r="J18" s="111">
        <v>0</v>
      </c>
      <c r="K18" s="15"/>
      <c r="L18" s="26">
        <v>1</v>
      </c>
      <c r="M18" s="28" t="s">
        <v>64</v>
      </c>
    </row>
    <row r="19" spans="1:13">
      <c r="A19" s="5" t="s">
        <v>1155</v>
      </c>
      <c r="B19" s="3" t="s">
        <v>1156</v>
      </c>
      <c r="D19" s="24">
        <v>106</v>
      </c>
      <c r="E19" s="24">
        <v>3</v>
      </c>
      <c r="F19" s="29" t="s">
        <v>1157</v>
      </c>
      <c r="G19" s="37"/>
      <c r="H19" s="13">
        <v>7</v>
      </c>
      <c r="I19" s="92">
        <v>3</v>
      </c>
      <c r="J19" s="111">
        <v>0</v>
      </c>
      <c r="K19" s="15"/>
      <c r="L19" s="26">
        <v>1</v>
      </c>
      <c r="M19" s="28">
        <v>4</v>
      </c>
    </row>
    <row r="20" spans="1:13">
      <c r="A20" s="5" t="s">
        <v>1158</v>
      </c>
      <c r="B20" s="3" t="s">
        <v>1159</v>
      </c>
      <c r="D20" s="24">
        <v>106</v>
      </c>
      <c r="E20" s="24">
        <v>4</v>
      </c>
      <c r="F20" s="29" t="s">
        <v>1160</v>
      </c>
      <c r="G20" s="37"/>
      <c r="H20" s="13">
        <v>5</v>
      </c>
      <c r="I20" s="92">
        <v>4</v>
      </c>
      <c r="J20" s="111">
        <v>1</v>
      </c>
      <c r="K20" s="15"/>
      <c r="L20" s="26">
        <v>1</v>
      </c>
      <c r="M20" s="28" t="s">
        <v>68</v>
      </c>
    </row>
    <row r="21" spans="1:13">
      <c r="A21" s="5" t="s">
        <v>1161</v>
      </c>
      <c r="B21" s="3" t="s">
        <v>1162</v>
      </c>
      <c r="D21" s="24">
        <v>106</v>
      </c>
      <c r="E21" s="24">
        <v>5</v>
      </c>
      <c r="F21" s="29" t="s">
        <v>1119</v>
      </c>
      <c r="G21" s="37"/>
      <c r="H21" s="13">
        <v>7</v>
      </c>
      <c r="I21" s="92">
        <v>1</v>
      </c>
      <c r="J21" s="111">
        <v>0</v>
      </c>
      <c r="K21" s="15"/>
      <c r="L21" s="26">
        <v>1</v>
      </c>
      <c r="M21" s="28" t="s">
        <v>955</v>
      </c>
    </row>
    <row r="22" spans="1:13">
      <c r="A22" s="5" t="s">
        <v>1163</v>
      </c>
      <c r="B22" s="3" t="s">
        <v>1164</v>
      </c>
      <c r="D22" s="24">
        <v>106</v>
      </c>
      <c r="E22" s="24">
        <v>6</v>
      </c>
      <c r="F22" s="29" t="s">
        <v>1134</v>
      </c>
      <c r="G22" s="37"/>
      <c r="H22" s="13">
        <v>5</v>
      </c>
      <c r="I22" s="92">
        <v>2</v>
      </c>
      <c r="J22" s="111">
        <v>1</v>
      </c>
      <c r="K22" s="15">
        <v>1</v>
      </c>
      <c r="L22" s="26">
        <v>1</v>
      </c>
      <c r="M22" s="28" t="s">
        <v>134</v>
      </c>
    </row>
    <row r="23" spans="1:13">
      <c r="A23" s="5" t="s">
        <v>1165</v>
      </c>
      <c r="B23" s="3" t="s">
        <v>1166</v>
      </c>
      <c r="D23" s="24">
        <v>106</v>
      </c>
      <c r="E23" s="24">
        <v>7</v>
      </c>
      <c r="F23" s="29" t="s">
        <v>1142</v>
      </c>
      <c r="G23" s="37"/>
      <c r="H23" s="85">
        <v>5</v>
      </c>
      <c r="I23" s="93">
        <v>1</v>
      </c>
      <c r="J23" s="112">
        <v>1</v>
      </c>
      <c r="K23" s="15"/>
      <c r="L23" s="26">
        <v>1</v>
      </c>
      <c r="M23" s="28">
        <v>1</v>
      </c>
    </row>
    <row r="24" spans="1:13">
      <c r="A24" s="5" t="s">
        <v>1167</v>
      </c>
      <c r="B24" s="3" t="s">
        <v>1168</v>
      </c>
      <c r="D24" s="24">
        <v>106</v>
      </c>
      <c r="E24" s="24">
        <v>8</v>
      </c>
      <c r="F24" s="29" t="s">
        <v>1157</v>
      </c>
      <c r="G24" s="37"/>
      <c r="H24" s="13">
        <v>7</v>
      </c>
      <c r="I24" s="92">
        <v>3</v>
      </c>
      <c r="J24" s="111">
        <v>0</v>
      </c>
      <c r="K24" s="15"/>
      <c r="L24" s="26">
        <v>1</v>
      </c>
      <c r="M24" s="28"/>
    </row>
    <row r="25" spans="1:13">
      <c r="A25" s="5" t="s">
        <v>1169</v>
      </c>
      <c r="B25" s="3" t="s">
        <v>1170</v>
      </c>
      <c r="D25" s="24">
        <v>106</v>
      </c>
      <c r="E25" s="24">
        <v>9</v>
      </c>
      <c r="F25" s="29" t="s">
        <v>1171</v>
      </c>
      <c r="G25" s="37"/>
      <c r="H25" s="13">
        <v>5</v>
      </c>
      <c r="I25" s="92">
        <v>5</v>
      </c>
      <c r="J25" s="111">
        <v>1</v>
      </c>
      <c r="K25" s="15">
        <v>1</v>
      </c>
      <c r="L25" s="26">
        <v>1</v>
      </c>
      <c r="M25" s="28" t="s">
        <v>1172</v>
      </c>
    </row>
    <row r="26" spans="1:13">
      <c r="A26" s="5" t="s">
        <v>1173</v>
      </c>
      <c r="B26" s="3" t="s">
        <v>1174</v>
      </c>
      <c r="D26" s="24">
        <v>106</v>
      </c>
      <c r="E26" s="24">
        <v>10</v>
      </c>
      <c r="F26" s="29" t="s">
        <v>1137</v>
      </c>
      <c r="G26" s="37"/>
      <c r="H26" s="13">
        <v>7</v>
      </c>
      <c r="I26" s="92">
        <v>3</v>
      </c>
      <c r="J26" s="111">
        <v>0</v>
      </c>
      <c r="K26" s="15"/>
      <c r="L26" s="26">
        <v>1</v>
      </c>
      <c r="M26" s="28">
        <v>2</v>
      </c>
    </row>
    <row r="27" spans="1:13">
      <c r="A27" s="5" t="s">
        <v>1175</v>
      </c>
      <c r="B27" s="3" t="s">
        <v>1176</v>
      </c>
      <c r="D27" s="24">
        <v>106</v>
      </c>
      <c r="E27" s="24">
        <v>11</v>
      </c>
      <c r="F27" s="29" t="s">
        <v>1171</v>
      </c>
      <c r="G27" s="37"/>
      <c r="H27" s="13">
        <v>5</v>
      </c>
      <c r="I27" s="92">
        <v>4</v>
      </c>
      <c r="J27" s="111">
        <v>1</v>
      </c>
      <c r="K27" s="15">
        <v>1</v>
      </c>
      <c r="L27" s="26">
        <v>1</v>
      </c>
      <c r="M27" s="28" t="s">
        <v>64</v>
      </c>
    </row>
    <row r="28" spans="1:13">
      <c r="A28" s="5" t="s">
        <v>1177</v>
      </c>
      <c r="B28" s="3" t="s">
        <v>1178</v>
      </c>
      <c r="D28" s="24">
        <v>106</v>
      </c>
      <c r="E28" s="24">
        <v>12</v>
      </c>
      <c r="F28" s="29" t="s">
        <v>1179</v>
      </c>
      <c r="G28" s="37"/>
      <c r="H28" s="13">
        <v>5</v>
      </c>
      <c r="I28" s="92">
        <v>1</v>
      </c>
      <c r="J28" s="111">
        <v>0</v>
      </c>
      <c r="K28" s="15">
        <v>1</v>
      </c>
      <c r="L28" s="26">
        <v>1</v>
      </c>
      <c r="M28" s="28" t="s">
        <v>1180</v>
      </c>
    </row>
    <row r="29" spans="1:13">
      <c r="A29" s="5" t="s">
        <v>1181</v>
      </c>
      <c r="B29" s="3" t="s">
        <v>1182</v>
      </c>
      <c r="D29" s="24">
        <v>106</v>
      </c>
      <c r="E29" s="24">
        <v>13</v>
      </c>
      <c r="F29" s="29" t="s">
        <v>1183</v>
      </c>
      <c r="G29" s="37"/>
      <c r="H29" s="13">
        <v>5</v>
      </c>
      <c r="I29" s="92">
        <v>1</v>
      </c>
      <c r="J29" s="111">
        <v>1</v>
      </c>
      <c r="K29" s="15"/>
      <c r="L29" s="26">
        <v>1</v>
      </c>
      <c r="M29" s="28">
        <v>3</v>
      </c>
    </row>
    <row r="30" spans="1:13">
      <c r="A30" s="5" t="s">
        <v>1184</v>
      </c>
      <c r="B30" s="3" t="s">
        <v>1185</v>
      </c>
      <c r="D30" s="24">
        <v>106</v>
      </c>
      <c r="E30" s="24">
        <v>14</v>
      </c>
      <c r="F30" s="29" t="s">
        <v>1186</v>
      </c>
      <c r="G30" s="37"/>
      <c r="H30" s="13">
        <v>5</v>
      </c>
      <c r="I30" s="92">
        <v>5</v>
      </c>
      <c r="J30" s="111">
        <v>1</v>
      </c>
      <c r="K30" s="15"/>
      <c r="L30" s="26">
        <v>1</v>
      </c>
      <c r="M30" s="28" t="s">
        <v>965</v>
      </c>
    </row>
    <row r="31" spans="1:13">
      <c r="A31" s="5" t="s">
        <v>1187</v>
      </c>
      <c r="B31" s="3" t="s">
        <v>1188</v>
      </c>
      <c r="D31" s="24">
        <v>106</v>
      </c>
      <c r="E31" s="24">
        <v>15</v>
      </c>
      <c r="F31" s="29" t="s">
        <v>1142</v>
      </c>
      <c r="G31" s="37"/>
      <c r="H31" s="13">
        <v>5</v>
      </c>
      <c r="I31" s="92">
        <v>2</v>
      </c>
      <c r="J31" s="111">
        <v>1</v>
      </c>
      <c r="K31" s="15"/>
      <c r="L31" s="26">
        <v>1</v>
      </c>
      <c r="M31" s="28" t="s">
        <v>1101</v>
      </c>
    </row>
    <row r="32" spans="1:13">
      <c r="A32" s="5" t="s">
        <v>1189</v>
      </c>
      <c r="B32" s="3" t="s">
        <v>1190</v>
      </c>
      <c r="D32" s="24">
        <v>106</v>
      </c>
      <c r="E32" s="24">
        <v>16</v>
      </c>
      <c r="F32" s="29" t="s">
        <v>1191</v>
      </c>
      <c r="G32" s="37"/>
      <c r="H32" s="13">
        <v>7</v>
      </c>
      <c r="I32" s="92">
        <v>3</v>
      </c>
      <c r="J32" s="111">
        <v>1</v>
      </c>
      <c r="K32" s="15">
        <v>1</v>
      </c>
      <c r="L32" s="26">
        <v>1</v>
      </c>
      <c r="M32" s="28">
        <v>1</v>
      </c>
    </row>
    <row r="33" spans="1:13">
      <c r="A33" s="5" t="s">
        <v>1192</v>
      </c>
      <c r="B33" s="3" t="s">
        <v>1193</v>
      </c>
      <c r="C33" s="3" t="s">
        <v>1194</v>
      </c>
      <c r="D33" s="24">
        <v>106</v>
      </c>
      <c r="E33" s="24">
        <v>17</v>
      </c>
      <c r="F33" s="29" t="s">
        <v>1142</v>
      </c>
      <c r="G33" s="37" t="s">
        <v>1183</v>
      </c>
      <c r="H33" s="13">
        <v>5</v>
      </c>
      <c r="I33" s="92">
        <v>1</v>
      </c>
      <c r="J33" s="111">
        <v>1</v>
      </c>
      <c r="K33" s="15"/>
      <c r="L33" s="26">
        <v>1</v>
      </c>
      <c r="M33" s="28">
        <v>1</v>
      </c>
    </row>
    <row r="34" spans="1:13">
      <c r="A34" s="5" t="s">
        <v>1195</v>
      </c>
      <c r="B34" s="3" t="s">
        <v>1196</v>
      </c>
      <c r="D34" s="24">
        <v>106</v>
      </c>
      <c r="E34" s="24">
        <v>18</v>
      </c>
      <c r="F34" s="29" t="s">
        <v>1197</v>
      </c>
      <c r="G34" s="37"/>
      <c r="H34" s="85">
        <v>5</v>
      </c>
      <c r="I34" s="93">
        <v>4</v>
      </c>
      <c r="J34" s="112">
        <v>1</v>
      </c>
      <c r="K34" s="15">
        <v>1</v>
      </c>
      <c r="L34" s="26">
        <v>1</v>
      </c>
      <c r="M34" s="28" t="s">
        <v>64</v>
      </c>
    </row>
    <row r="35" spans="1:13">
      <c r="A35" s="5" t="s">
        <v>1198</v>
      </c>
      <c r="B35" s="3" t="s">
        <v>1199</v>
      </c>
      <c r="D35" s="24">
        <v>107</v>
      </c>
      <c r="E35" s="24">
        <v>1</v>
      </c>
      <c r="F35" s="29" t="s">
        <v>1171</v>
      </c>
      <c r="G35" s="37"/>
      <c r="H35" s="85">
        <v>5</v>
      </c>
      <c r="I35" s="93">
        <v>1</v>
      </c>
      <c r="J35" s="112">
        <v>1</v>
      </c>
      <c r="K35" s="15">
        <v>1</v>
      </c>
      <c r="L35" s="26">
        <v>1</v>
      </c>
      <c r="M35" s="28">
        <v>1</v>
      </c>
    </row>
    <row r="36" spans="1:13">
      <c r="A36" s="5" t="s">
        <v>1200</v>
      </c>
      <c r="B36" s="3" t="s">
        <v>1201</v>
      </c>
      <c r="D36" s="24">
        <v>107</v>
      </c>
      <c r="E36" s="24">
        <v>2</v>
      </c>
      <c r="F36" s="29" t="s">
        <v>1202</v>
      </c>
      <c r="G36" s="37"/>
      <c r="H36" s="13">
        <v>5</v>
      </c>
      <c r="I36" s="92">
        <v>2</v>
      </c>
      <c r="J36" s="111">
        <v>1</v>
      </c>
      <c r="K36" s="15"/>
      <c r="L36" s="26">
        <v>1</v>
      </c>
      <c r="M36" s="28" t="s">
        <v>923</v>
      </c>
    </row>
    <row r="37" spans="1:13">
      <c r="A37" s="5" t="s">
        <v>1203</v>
      </c>
      <c r="B37" s="3" t="s">
        <v>1204</v>
      </c>
      <c r="D37" s="24">
        <v>107</v>
      </c>
      <c r="E37" s="24">
        <v>3</v>
      </c>
      <c r="F37" s="29" t="s">
        <v>1183</v>
      </c>
      <c r="G37" s="37"/>
      <c r="H37" s="13">
        <v>5</v>
      </c>
      <c r="I37" s="92">
        <v>2</v>
      </c>
      <c r="J37" s="111">
        <v>1</v>
      </c>
      <c r="K37" s="15"/>
      <c r="L37" s="26">
        <v>1</v>
      </c>
      <c r="M37" s="28" t="s">
        <v>923</v>
      </c>
    </row>
    <row r="38" spans="1:13">
      <c r="A38" s="5" t="s">
        <v>1205</v>
      </c>
      <c r="B38" s="3" t="s">
        <v>1206</v>
      </c>
      <c r="D38" s="24">
        <v>107</v>
      </c>
      <c r="E38" s="24">
        <v>4</v>
      </c>
      <c r="F38" s="29" t="s">
        <v>1134</v>
      </c>
      <c r="G38" s="37"/>
      <c r="H38" s="13">
        <v>5</v>
      </c>
      <c r="I38" s="92">
        <v>2</v>
      </c>
      <c r="J38" s="111">
        <v>1</v>
      </c>
      <c r="K38" s="15">
        <v>1</v>
      </c>
      <c r="L38" s="26">
        <v>1</v>
      </c>
      <c r="M38" s="28" t="s">
        <v>1207</v>
      </c>
    </row>
    <row r="39" spans="1:13">
      <c r="A39" s="5" t="s">
        <v>1208</v>
      </c>
      <c r="B39" s="3" t="s">
        <v>1209</v>
      </c>
      <c r="D39" s="24">
        <v>107</v>
      </c>
      <c r="E39" s="24">
        <v>5</v>
      </c>
      <c r="F39" s="29" t="s">
        <v>1134</v>
      </c>
      <c r="G39" s="37"/>
      <c r="H39" s="13">
        <v>5</v>
      </c>
      <c r="I39" s="92">
        <v>2</v>
      </c>
      <c r="J39" s="111">
        <v>1</v>
      </c>
      <c r="K39" s="15">
        <v>1</v>
      </c>
      <c r="L39" s="26">
        <v>1</v>
      </c>
      <c r="M39" s="28" t="s">
        <v>1172</v>
      </c>
    </row>
    <row r="40" spans="1:13">
      <c r="A40" s="5" t="s">
        <v>1210</v>
      </c>
      <c r="B40" s="3" t="s">
        <v>1211</v>
      </c>
      <c r="D40" s="24">
        <v>109</v>
      </c>
      <c r="E40" s="24">
        <v>1</v>
      </c>
      <c r="F40" s="29" t="s">
        <v>1202</v>
      </c>
      <c r="G40" s="37"/>
      <c r="H40" s="13">
        <v>5</v>
      </c>
      <c r="I40" s="92">
        <v>4</v>
      </c>
      <c r="J40" s="111">
        <v>1</v>
      </c>
      <c r="K40" s="15">
        <v>1</v>
      </c>
      <c r="L40" s="26">
        <v>1</v>
      </c>
      <c r="M40" s="28" t="s">
        <v>68</v>
      </c>
    </row>
    <row r="41" spans="1:13">
      <c r="A41" s="5" t="s">
        <v>1212</v>
      </c>
      <c r="B41" s="3" t="s">
        <v>1213</v>
      </c>
      <c r="D41" s="24">
        <v>109</v>
      </c>
      <c r="E41" s="24">
        <v>2</v>
      </c>
      <c r="F41" s="29" t="s">
        <v>1214</v>
      </c>
      <c r="G41" s="37"/>
      <c r="H41" s="13">
        <v>5</v>
      </c>
      <c r="I41" s="92">
        <v>2</v>
      </c>
      <c r="J41" s="111">
        <v>1</v>
      </c>
      <c r="K41" s="15"/>
      <c r="L41" s="26">
        <v>1</v>
      </c>
      <c r="M41" s="28" t="s">
        <v>1101</v>
      </c>
    </row>
    <row r="42" spans="1:13">
      <c r="A42" s="5" t="s">
        <v>1215</v>
      </c>
      <c r="B42" s="3" t="s">
        <v>1216</v>
      </c>
      <c r="D42" s="24">
        <v>110</v>
      </c>
      <c r="E42" s="24">
        <v>1</v>
      </c>
      <c r="F42" s="29" t="s">
        <v>1171</v>
      </c>
      <c r="G42" s="37"/>
      <c r="H42" s="13">
        <v>5</v>
      </c>
      <c r="I42" s="92">
        <v>1</v>
      </c>
      <c r="J42" s="111">
        <v>1</v>
      </c>
      <c r="K42" s="15">
        <v>1</v>
      </c>
      <c r="L42" s="26">
        <v>1</v>
      </c>
      <c r="M42" s="28" t="s">
        <v>639</v>
      </c>
    </row>
    <row r="43" spans="1:13">
      <c r="A43" s="5" t="s">
        <v>1217</v>
      </c>
      <c r="B43" s="3" t="s">
        <v>1218</v>
      </c>
      <c r="D43" s="24">
        <v>110</v>
      </c>
      <c r="E43" s="24">
        <v>2</v>
      </c>
      <c r="F43" s="29" t="s">
        <v>1134</v>
      </c>
      <c r="G43" s="37"/>
      <c r="H43" s="13">
        <v>5</v>
      </c>
      <c r="I43" s="92">
        <v>2</v>
      </c>
      <c r="J43" s="111">
        <v>1</v>
      </c>
      <c r="K43" s="15">
        <v>1</v>
      </c>
      <c r="L43" s="26">
        <v>1</v>
      </c>
      <c r="M43" s="28" t="s">
        <v>1207</v>
      </c>
    </row>
    <row r="44" spans="1:13">
      <c r="A44" s="5" t="s">
        <v>1219</v>
      </c>
      <c r="B44" s="3" t="s">
        <v>1220</v>
      </c>
      <c r="D44" s="24">
        <v>110</v>
      </c>
      <c r="E44" s="24">
        <v>3</v>
      </c>
      <c r="F44" s="29" t="s">
        <v>1134</v>
      </c>
      <c r="G44" s="37"/>
      <c r="H44" s="13">
        <v>5</v>
      </c>
      <c r="I44" s="92">
        <v>1</v>
      </c>
      <c r="J44" s="111">
        <v>1</v>
      </c>
      <c r="K44" s="15"/>
      <c r="L44" s="26">
        <v>1</v>
      </c>
      <c r="M44" s="28">
        <v>1</v>
      </c>
    </row>
    <row r="45" spans="1:13">
      <c r="A45" s="5" t="s">
        <v>1221</v>
      </c>
      <c r="B45" s="3" t="s">
        <v>1222</v>
      </c>
      <c r="D45" s="24">
        <v>111</v>
      </c>
      <c r="E45" s="24">
        <v>1</v>
      </c>
      <c r="F45" s="29" t="s">
        <v>1145</v>
      </c>
      <c r="G45" s="37"/>
      <c r="H45" s="13">
        <v>5</v>
      </c>
      <c r="I45" s="92">
        <v>2</v>
      </c>
      <c r="J45" s="111">
        <v>1</v>
      </c>
      <c r="K45" s="15"/>
      <c r="L45" s="26">
        <v>1</v>
      </c>
      <c r="M45" s="28" t="s">
        <v>965</v>
      </c>
    </row>
    <row r="46" spans="1:13">
      <c r="A46" s="5" t="s">
        <v>1223</v>
      </c>
      <c r="B46" s="3" t="s">
        <v>1224</v>
      </c>
      <c r="D46" s="24">
        <v>111</v>
      </c>
      <c r="E46" s="24">
        <v>2</v>
      </c>
      <c r="F46" s="29" t="s">
        <v>1150</v>
      </c>
      <c r="G46" s="37"/>
      <c r="H46" s="13">
        <v>5</v>
      </c>
      <c r="I46" s="92">
        <v>1</v>
      </c>
      <c r="J46" s="111">
        <v>1</v>
      </c>
      <c r="K46" s="15">
        <v>1</v>
      </c>
      <c r="L46" s="26">
        <v>1</v>
      </c>
      <c r="M46" s="28" t="s">
        <v>757</v>
      </c>
    </row>
    <row r="47" spans="1:13">
      <c r="A47" s="5" t="s">
        <v>1225</v>
      </c>
      <c r="B47" s="3" t="s">
        <v>1226</v>
      </c>
      <c r="D47" s="24">
        <v>112</v>
      </c>
      <c r="E47" s="24">
        <v>1</v>
      </c>
      <c r="F47" s="29" t="s">
        <v>1227</v>
      </c>
      <c r="G47" s="37"/>
      <c r="H47" s="13">
        <v>5</v>
      </c>
      <c r="I47" s="92">
        <v>1</v>
      </c>
      <c r="J47" s="111">
        <v>0</v>
      </c>
      <c r="K47" s="15"/>
      <c r="L47" s="26">
        <v>1</v>
      </c>
      <c r="M47" s="28" t="s">
        <v>389</v>
      </c>
    </row>
    <row r="48" spans="1:13">
      <c r="A48" s="5" t="s">
        <v>1228</v>
      </c>
      <c r="B48" s="3" t="s">
        <v>1229</v>
      </c>
      <c r="D48" s="24">
        <v>112</v>
      </c>
      <c r="E48" s="24">
        <v>2</v>
      </c>
      <c r="F48" s="29" t="s">
        <v>1137</v>
      </c>
      <c r="G48" s="37"/>
      <c r="H48" s="13">
        <v>5</v>
      </c>
      <c r="I48" s="92">
        <v>3</v>
      </c>
      <c r="J48" s="111">
        <v>0</v>
      </c>
      <c r="K48" s="15"/>
      <c r="L48" s="26">
        <v>1</v>
      </c>
      <c r="M48" s="28" t="s">
        <v>991</v>
      </c>
    </row>
    <row r="49" spans="1:13">
      <c r="A49" s="5" t="s">
        <v>1230</v>
      </c>
      <c r="B49" s="3" t="s">
        <v>1231</v>
      </c>
      <c r="D49" s="24">
        <v>113</v>
      </c>
      <c r="E49" s="24">
        <v>1</v>
      </c>
      <c r="F49" s="29" t="s">
        <v>1119</v>
      </c>
      <c r="G49" s="37"/>
      <c r="H49" s="13">
        <v>5</v>
      </c>
      <c r="I49" s="92">
        <v>4</v>
      </c>
      <c r="J49" s="111">
        <v>1</v>
      </c>
      <c r="K49" s="15"/>
      <c r="L49" s="26">
        <v>1</v>
      </c>
      <c r="M49" s="28">
        <v>1</v>
      </c>
    </row>
    <row r="50" spans="1:13">
      <c r="A50" s="5" t="s">
        <v>1232</v>
      </c>
      <c r="B50" s="3" t="s">
        <v>1233</v>
      </c>
      <c r="D50" s="24">
        <v>113</v>
      </c>
      <c r="E50" s="24">
        <v>2</v>
      </c>
      <c r="F50" s="29" t="s">
        <v>1179</v>
      </c>
      <c r="G50" s="37"/>
      <c r="H50" s="13">
        <v>5</v>
      </c>
      <c r="I50" s="92">
        <v>3</v>
      </c>
      <c r="J50" s="111">
        <v>0</v>
      </c>
      <c r="K50" s="15">
        <v>1</v>
      </c>
      <c r="L50" s="26">
        <v>1</v>
      </c>
      <c r="M50" s="28">
        <v>5</v>
      </c>
    </row>
    <row r="51" spans="1:13">
      <c r="A51" s="5" t="s">
        <v>1234</v>
      </c>
      <c r="B51" s="3" t="s">
        <v>1235</v>
      </c>
      <c r="D51" s="24">
        <v>114</v>
      </c>
      <c r="E51" s="24">
        <v>1</v>
      </c>
      <c r="F51" s="29" t="s">
        <v>1150</v>
      </c>
      <c r="G51" s="37"/>
      <c r="H51" s="13">
        <v>5</v>
      </c>
      <c r="I51" s="92">
        <v>2</v>
      </c>
      <c r="J51" s="111">
        <v>1</v>
      </c>
      <c r="K51" s="15"/>
      <c r="L51" s="26">
        <v>1</v>
      </c>
      <c r="M51" s="28" t="s">
        <v>965</v>
      </c>
    </row>
    <row r="52" spans="1:13">
      <c r="A52" s="5" t="s">
        <v>1236</v>
      </c>
      <c r="B52" s="3" t="s">
        <v>1237</v>
      </c>
      <c r="D52" s="24">
        <v>114</v>
      </c>
      <c r="E52" s="24">
        <v>2</v>
      </c>
      <c r="F52" s="29" t="s">
        <v>1238</v>
      </c>
      <c r="G52" s="37"/>
      <c r="H52" s="13">
        <v>5</v>
      </c>
      <c r="I52" s="92">
        <v>5</v>
      </c>
      <c r="J52" s="111">
        <v>0</v>
      </c>
      <c r="K52" s="15"/>
      <c r="L52" s="26">
        <v>1</v>
      </c>
      <c r="M52" s="28" t="s">
        <v>1101</v>
      </c>
    </row>
    <row r="53" spans="1:13">
      <c r="A53" s="5" t="s">
        <v>1239</v>
      </c>
      <c r="B53" s="3" t="s">
        <v>1240</v>
      </c>
      <c r="D53" s="24">
        <v>117</v>
      </c>
      <c r="E53" s="24">
        <v>1</v>
      </c>
      <c r="F53" s="29" t="s">
        <v>1116</v>
      </c>
      <c r="G53" s="37"/>
      <c r="H53" s="13">
        <v>5</v>
      </c>
      <c r="I53" s="92">
        <v>1</v>
      </c>
      <c r="J53" s="111">
        <v>0</v>
      </c>
      <c r="K53" s="15"/>
      <c r="L53" s="26">
        <v>1</v>
      </c>
      <c r="M53" s="28"/>
    </row>
    <row r="54" spans="1:13">
      <c r="A54" s="5" t="s">
        <v>1241</v>
      </c>
      <c r="B54" s="3" t="s">
        <v>1242</v>
      </c>
      <c r="D54" s="24">
        <v>117</v>
      </c>
      <c r="E54" s="24">
        <v>2</v>
      </c>
      <c r="F54" s="29" t="s">
        <v>1116</v>
      </c>
      <c r="G54" s="37"/>
      <c r="H54" s="13">
        <v>5</v>
      </c>
      <c r="I54" s="92">
        <v>5</v>
      </c>
      <c r="J54" s="111">
        <v>0</v>
      </c>
      <c r="K54" s="15"/>
      <c r="L54" s="26">
        <v>1</v>
      </c>
      <c r="M54" s="28" t="s">
        <v>923</v>
      </c>
    </row>
    <row r="55" spans="1:13">
      <c r="A55" s="5" t="s">
        <v>1243</v>
      </c>
      <c r="B55" s="3" t="s">
        <v>1244</v>
      </c>
      <c r="D55" s="24">
        <v>118</v>
      </c>
      <c r="E55" s="24">
        <v>1</v>
      </c>
      <c r="F55" s="29" t="s">
        <v>1142</v>
      </c>
      <c r="G55" s="37"/>
      <c r="H55" s="13">
        <v>5</v>
      </c>
      <c r="I55" s="92">
        <v>4</v>
      </c>
      <c r="J55" s="111">
        <v>1</v>
      </c>
      <c r="K55" s="15"/>
      <c r="L55" s="26">
        <v>1</v>
      </c>
      <c r="M55" s="28" t="s">
        <v>757</v>
      </c>
    </row>
    <row r="56" spans="1:13">
      <c r="A56" s="5" t="s">
        <v>1245</v>
      </c>
      <c r="B56" s="3" t="s">
        <v>1246</v>
      </c>
      <c r="D56" s="24">
        <v>118</v>
      </c>
      <c r="E56" s="24">
        <v>2</v>
      </c>
      <c r="F56" s="29" t="s">
        <v>1171</v>
      </c>
      <c r="G56" s="37"/>
      <c r="H56" s="13">
        <v>5</v>
      </c>
      <c r="I56" s="92">
        <v>3</v>
      </c>
      <c r="J56" s="111">
        <v>1</v>
      </c>
      <c r="K56" s="15">
        <v>1</v>
      </c>
      <c r="L56" s="26">
        <v>1</v>
      </c>
      <c r="M56" s="28" t="s">
        <v>639</v>
      </c>
    </row>
    <row r="57" spans="1:13">
      <c r="A57" s="5" t="s">
        <v>1247</v>
      </c>
      <c r="B57" s="3" t="s">
        <v>1248</v>
      </c>
      <c r="D57" s="24">
        <v>118</v>
      </c>
      <c r="E57" s="24">
        <v>3</v>
      </c>
      <c r="F57" s="29" t="s">
        <v>1150</v>
      </c>
      <c r="G57" s="37"/>
      <c r="H57" s="13">
        <v>5</v>
      </c>
      <c r="I57" s="92">
        <v>2</v>
      </c>
      <c r="J57" s="111">
        <v>1</v>
      </c>
      <c r="K57" s="15">
        <v>1</v>
      </c>
      <c r="L57" s="26">
        <v>1</v>
      </c>
      <c r="M57" s="28" t="s">
        <v>134</v>
      </c>
    </row>
    <row r="58" spans="1:13">
      <c r="A58" s="5" t="s">
        <v>1249</v>
      </c>
      <c r="B58" s="3" t="s">
        <v>1250</v>
      </c>
      <c r="D58" s="24">
        <v>118</v>
      </c>
      <c r="E58" s="24">
        <v>4</v>
      </c>
      <c r="F58" s="29" t="s">
        <v>1171</v>
      </c>
      <c r="G58" s="37"/>
      <c r="H58" s="13">
        <v>5</v>
      </c>
      <c r="I58" s="92">
        <v>4</v>
      </c>
      <c r="J58" s="111">
        <v>1</v>
      </c>
      <c r="K58" s="15">
        <v>1</v>
      </c>
      <c r="L58" s="26">
        <v>1</v>
      </c>
      <c r="M58" s="28" t="s">
        <v>64</v>
      </c>
    </row>
    <row r="59" spans="1:13">
      <c r="A59" s="5" t="s">
        <v>1251</v>
      </c>
      <c r="B59" s="3" t="s">
        <v>1252</v>
      </c>
      <c r="D59" s="24">
        <v>118</v>
      </c>
      <c r="E59" s="24">
        <v>5</v>
      </c>
      <c r="F59" s="29" t="s">
        <v>1142</v>
      </c>
      <c r="G59" s="37"/>
      <c r="H59" s="13">
        <v>5</v>
      </c>
      <c r="I59" s="92">
        <v>2</v>
      </c>
      <c r="J59" s="111">
        <v>1</v>
      </c>
      <c r="K59" s="15"/>
      <c r="L59" s="26">
        <v>1</v>
      </c>
      <c r="M59" s="28" t="s">
        <v>206</v>
      </c>
    </row>
    <row r="60" spans="1:13">
      <c r="A60" s="5" t="s">
        <v>1253</v>
      </c>
      <c r="B60" s="3" t="s">
        <v>1254</v>
      </c>
      <c r="D60" s="24">
        <v>118</v>
      </c>
      <c r="E60" s="24">
        <v>6</v>
      </c>
      <c r="F60" s="29" t="s">
        <v>1183</v>
      </c>
      <c r="G60" s="37"/>
      <c r="H60" s="13">
        <v>5</v>
      </c>
      <c r="I60" s="92">
        <v>2</v>
      </c>
      <c r="J60" s="111">
        <v>1</v>
      </c>
      <c r="K60" s="15"/>
      <c r="L60" s="26">
        <v>1</v>
      </c>
      <c r="M60" s="28">
        <v>2</v>
      </c>
    </row>
    <row r="61" spans="1:13">
      <c r="A61" s="5" t="s">
        <v>1255</v>
      </c>
      <c r="B61" s="3" t="s">
        <v>1256</v>
      </c>
      <c r="D61" s="24">
        <v>118</v>
      </c>
      <c r="E61" s="24">
        <v>7</v>
      </c>
      <c r="F61" s="29" t="s">
        <v>1142</v>
      </c>
      <c r="G61" s="37"/>
      <c r="H61" s="13">
        <v>5</v>
      </c>
      <c r="I61" s="92">
        <v>2</v>
      </c>
      <c r="J61" s="111">
        <v>1</v>
      </c>
      <c r="K61" s="15"/>
      <c r="L61" s="26">
        <v>1</v>
      </c>
      <c r="M61" s="28" t="s">
        <v>955</v>
      </c>
    </row>
    <row r="62" spans="1:13">
      <c r="A62" s="5" t="s">
        <v>1257</v>
      </c>
      <c r="B62" s="3" t="s">
        <v>1258</v>
      </c>
      <c r="D62" s="24">
        <v>118</v>
      </c>
      <c r="E62" s="24">
        <v>8</v>
      </c>
      <c r="F62" s="29" t="s">
        <v>1160</v>
      </c>
      <c r="G62" s="37"/>
      <c r="H62" s="13">
        <v>5</v>
      </c>
      <c r="I62" s="92">
        <v>5</v>
      </c>
      <c r="J62" s="111">
        <v>1</v>
      </c>
      <c r="K62" s="15"/>
      <c r="L62" s="26">
        <v>1</v>
      </c>
      <c r="M62" s="28" t="s">
        <v>923</v>
      </c>
    </row>
    <row r="63" spans="1:13">
      <c r="A63" s="5" t="s">
        <v>1259</v>
      </c>
      <c r="B63" s="3" t="s">
        <v>1260</v>
      </c>
      <c r="D63" s="24">
        <v>120</v>
      </c>
      <c r="E63" s="24">
        <v>1</v>
      </c>
      <c r="F63" s="29" t="s">
        <v>1171</v>
      </c>
      <c r="G63" s="37"/>
      <c r="H63" s="13">
        <v>5</v>
      </c>
      <c r="I63" s="92">
        <v>4</v>
      </c>
      <c r="J63" s="111">
        <v>1</v>
      </c>
      <c r="K63" s="15"/>
      <c r="L63" s="26">
        <v>1</v>
      </c>
      <c r="M63" s="28" t="s">
        <v>203</v>
      </c>
    </row>
    <row r="64" spans="1:13">
      <c r="A64" s="5" t="s">
        <v>1261</v>
      </c>
      <c r="B64" s="3" t="s">
        <v>1262</v>
      </c>
      <c r="D64" s="24">
        <v>120</v>
      </c>
      <c r="E64" s="24">
        <v>2</v>
      </c>
      <c r="F64" s="29" t="s">
        <v>1179</v>
      </c>
      <c r="G64" s="37"/>
      <c r="H64" s="13">
        <v>5</v>
      </c>
      <c r="I64" s="92">
        <v>5</v>
      </c>
      <c r="J64" s="111">
        <v>0</v>
      </c>
      <c r="K64" s="15">
        <v>1</v>
      </c>
      <c r="L64" s="26">
        <v>1</v>
      </c>
      <c r="M64" s="28" t="s">
        <v>1101</v>
      </c>
    </row>
    <row r="65" spans="1:13">
      <c r="A65" s="5" t="s">
        <v>1263</v>
      </c>
      <c r="B65" s="3" t="s">
        <v>1264</v>
      </c>
      <c r="C65" s="3" t="s">
        <v>1265</v>
      </c>
      <c r="D65" s="24">
        <v>120</v>
      </c>
      <c r="E65" s="24">
        <v>3</v>
      </c>
      <c r="F65" s="29" t="s">
        <v>1157</v>
      </c>
      <c r="G65" s="37" t="s">
        <v>1266</v>
      </c>
      <c r="H65" s="13">
        <v>5</v>
      </c>
      <c r="I65" s="92">
        <v>3</v>
      </c>
      <c r="J65" s="111">
        <v>0</v>
      </c>
      <c r="K65" s="15">
        <v>1</v>
      </c>
      <c r="L65" s="26">
        <v>1</v>
      </c>
      <c r="M65" s="28" t="s">
        <v>1267</v>
      </c>
    </row>
    <row r="66" spans="1:13">
      <c r="A66" s="5" t="s">
        <v>1268</v>
      </c>
      <c r="B66" s="3" t="s">
        <v>1269</v>
      </c>
      <c r="D66" s="24">
        <v>120</v>
      </c>
      <c r="E66" s="24">
        <v>4</v>
      </c>
      <c r="F66" s="29" t="s">
        <v>1270</v>
      </c>
      <c r="G66" s="37"/>
      <c r="H66" s="13">
        <v>5</v>
      </c>
      <c r="I66" s="92">
        <v>1</v>
      </c>
      <c r="J66" s="111">
        <v>0</v>
      </c>
      <c r="K66" s="15"/>
      <c r="L66" s="26">
        <v>1</v>
      </c>
      <c r="M66" s="28">
        <v>4</v>
      </c>
    </row>
    <row r="67" spans="1:13">
      <c r="A67" s="5" t="s">
        <v>1271</v>
      </c>
      <c r="B67" s="3" t="s">
        <v>1272</v>
      </c>
      <c r="D67" s="24">
        <v>120</v>
      </c>
      <c r="E67" s="24">
        <v>5</v>
      </c>
      <c r="F67" s="29" t="s">
        <v>1142</v>
      </c>
      <c r="G67" s="37"/>
      <c r="H67" s="13">
        <v>5</v>
      </c>
      <c r="I67" s="92">
        <v>4</v>
      </c>
      <c r="J67" s="111">
        <v>1</v>
      </c>
      <c r="K67" s="15"/>
      <c r="L67" s="26">
        <v>1</v>
      </c>
      <c r="M67" s="28" t="s">
        <v>923</v>
      </c>
    </row>
    <row r="68" spans="1:13">
      <c r="A68" s="5" t="s">
        <v>1273</v>
      </c>
      <c r="B68" s="3" t="s">
        <v>1274</v>
      </c>
      <c r="D68" s="24">
        <v>120</v>
      </c>
      <c r="E68" s="24">
        <v>6</v>
      </c>
      <c r="F68" s="29" t="s">
        <v>1134</v>
      </c>
      <c r="G68" s="37"/>
      <c r="H68" s="13">
        <v>7</v>
      </c>
      <c r="I68" s="92">
        <v>3</v>
      </c>
      <c r="J68" s="111">
        <v>0</v>
      </c>
      <c r="K68" s="15"/>
      <c r="L68" s="26">
        <v>1</v>
      </c>
      <c r="M68" s="28" t="s">
        <v>64</v>
      </c>
    </row>
    <row r="69" spans="1:13">
      <c r="A69" s="5" t="s">
        <v>1275</v>
      </c>
      <c r="B69" s="3" t="s">
        <v>1276</v>
      </c>
      <c r="D69" s="24">
        <v>120</v>
      </c>
      <c r="E69" s="24">
        <v>7</v>
      </c>
      <c r="F69" s="29" t="s">
        <v>1142</v>
      </c>
      <c r="G69" s="37"/>
      <c r="H69" s="13">
        <v>5</v>
      </c>
      <c r="I69" s="92">
        <v>1</v>
      </c>
      <c r="J69" s="111">
        <v>1</v>
      </c>
      <c r="K69" s="15"/>
      <c r="L69" s="26">
        <v>1</v>
      </c>
      <c r="M69" s="28" t="s">
        <v>64</v>
      </c>
    </row>
    <row r="70" spans="1:13">
      <c r="A70" s="5" t="s">
        <v>1277</v>
      </c>
      <c r="B70" s="3" t="s">
        <v>1278</v>
      </c>
      <c r="D70" s="24">
        <v>120</v>
      </c>
      <c r="E70" s="24">
        <v>8</v>
      </c>
      <c r="F70" s="29" t="s">
        <v>1279</v>
      </c>
      <c r="G70" s="37"/>
      <c r="H70" s="13">
        <v>5</v>
      </c>
      <c r="I70" s="92">
        <v>2</v>
      </c>
      <c r="J70" s="111">
        <v>1</v>
      </c>
      <c r="K70" s="15"/>
      <c r="L70" s="26">
        <v>1</v>
      </c>
      <c r="M70" s="28" t="s">
        <v>965</v>
      </c>
    </row>
    <row r="71" spans="1:13">
      <c r="A71" s="5" t="s">
        <v>1280</v>
      </c>
      <c r="B71" s="3" t="s">
        <v>1281</v>
      </c>
      <c r="C71" s="3" t="s">
        <v>1282</v>
      </c>
      <c r="D71" s="24">
        <v>120</v>
      </c>
      <c r="E71" s="24">
        <v>9</v>
      </c>
      <c r="F71" s="29" t="s">
        <v>1134</v>
      </c>
      <c r="G71" s="37" t="s">
        <v>1283</v>
      </c>
      <c r="H71" s="13">
        <v>5</v>
      </c>
      <c r="I71" s="92">
        <v>1</v>
      </c>
      <c r="J71" s="111">
        <v>1</v>
      </c>
      <c r="K71" s="15">
        <v>1</v>
      </c>
      <c r="L71" s="26">
        <v>1</v>
      </c>
      <c r="M71" s="28" t="s">
        <v>639</v>
      </c>
    </row>
    <row r="72" spans="1:13">
      <c r="A72" s="5" t="s">
        <v>1284</v>
      </c>
      <c r="B72" s="3" t="s">
        <v>1285</v>
      </c>
      <c r="D72" s="24">
        <v>120</v>
      </c>
      <c r="E72" s="24">
        <v>10</v>
      </c>
      <c r="F72" s="29" t="s">
        <v>1171</v>
      </c>
      <c r="G72" s="37"/>
      <c r="H72" s="13">
        <v>7</v>
      </c>
      <c r="I72" s="92">
        <v>3</v>
      </c>
      <c r="J72" s="111">
        <v>0</v>
      </c>
      <c r="K72" s="15"/>
      <c r="L72" s="26">
        <v>1</v>
      </c>
      <c r="M72" s="28">
        <v>1</v>
      </c>
    </row>
    <row r="73" spans="1:13">
      <c r="A73" s="5" t="s">
        <v>1286</v>
      </c>
      <c r="B73" s="3" t="s">
        <v>1287</v>
      </c>
      <c r="D73" s="24">
        <v>120</v>
      </c>
      <c r="E73" s="24">
        <v>11</v>
      </c>
      <c r="F73" s="29" t="s">
        <v>1288</v>
      </c>
      <c r="G73" s="37"/>
      <c r="H73" s="13">
        <v>5</v>
      </c>
      <c r="I73" s="92">
        <v>1</v>
      </c>
      <c r="J73" s="111">
        <v>0</v>
      </c>
      <c r="K73" s="15">
        <v>1</v>
      </c>
      <c r="L73" s="26">
        <v>1</v>
      </c>
      <c r="M73" s="28">
        <v>3</v>
      </c>
    </row>
    <row r="74" spans="1:13">
      <c r="A74" s="5" t="s">
        <v>1289</v>
      </c>
      <c r="B74" s="3" t="s">
        <v>1290</v>
      </c>
      <c r="D74" s="24">
        <v>121</v>
      </c>
      <c r="E74" s="24">
        <v>1</v>
      </c>
      <c r="F74" s="29" t="s">
        <v>1183</v>
      </c>
      <c r="G74" s="37"/>
      <c r="H74" s="13">
        <v>5</v>
      </c>
      <c r="I74" s="92">
        <v>2</v>
      </c>
      <c r="J74" s="111">
        <v>1</v>
      </c>
      <c r="K74" s="15"/>
      <c r="L74" s="26">
        <v>1</v>
      </c>
      <c r="M74" s="28" t="s">
        <v>144</v>
      </c>
    </row>
    <row r="75" spans="1:13">
      <c r="A75" s="5" t="s">
        <v>1291</v>
      </c>
      <c r="B75" s="3" t="s">
        <v>1292</v>
      </c>
      <c r="D75" s="24">
        <v>121</v>
      </c>
      <c r="E75" s="24">
        <v>2</v>
      </c>
      <c r="F75" s="29" t="s">
        <v>1227</v>
      </c>
      <c r="G75" s="37"/>
      <c r="H75" s="13">
        <v>7</v>
      </c>
      <c r="I75" s="92">
        <v>5</v>
      </c>
      <c r="J75" s="111">
        <v>0</v>
      </c>
      <c r="K75" s="15">
        <v>1</v>
      </c>
      <c r="L75" s="26">
        <v>1</v>
      </c>
      <c r="M75" s="28" t="s">
        <v>1180</v>
      </c>
    </row>
    <row r="76" spans="1:13">
      <c r="A76" s="5" t="s">
        <v>1293</v>
      </c>
      <c r="B76" s="3" t="s">
        <v>1294</v>
      </c>
      <c r="D76" s="24">
        <v>121</v>
      </c>
      <c r="E76" s="24">
        <v>3</v>
      </c>
      <c r="F76" s="29" t="s">
        <v>1160</v>
      </c>
      <c r="G76" s="37"/>
      <c r="H76" s="13">
        <v>5</v>
      </c>
      <c r="I76" s="92">
        <v>2</v>
      </c>
      <c r="J76" s="111">
        <v>1</v>
      </c>
      <c r="K76" s="15"/>
      <c r="L76" s="26">
        <v>1</v>
      </c>
      <c r="M76" s="28" t="s">
        <v>1172</v>
      </c>
    </row>
    <row r="77" spans="1:13">
      <c r="A77" s="5" t="s">
        <v>1295</v>
      </c>
      <c r="B77" s="3" t="s">
        <v>1296</v>
      </c>
      <c r="D77" s="24">
        <v>121</v>
      </c>
      <c r="E77" s="24">
        <v>4</v>
      </c>
      <c r="F77" s="29" t="s">
        <v>1238</v>
      </c>
      <c r="G77" s="37"/>
      <c r="H77" s="13">
        <v>7</v>
      </c>
      <c r="I77" s="92">
        <v>3</v>
      </c>
      <c r="J77" s="111">
        <v>0</v>
      </c>
      <c r="K77" s="15"/>
      <c r="L77" s="26">
        <v>1</v>
      </c>
      <c r="M77" s="28" t="s">
        <v>64</v>
      </c>
    </row>
    <row r="78" spans="1:13">
      <c r="A78" s="5" t="s">
        <v>1297</v>
      </c>
      <c r="B78" s="3" t="s">
        <v>1298</v>
      </c>
      <c r="D78" s="24">
        <v>121</v>
      </c>
      <c r="E78" s="24">
        <v>5</v>
      </c>
      <c r="F78" s="29" t="s">
        <v>1142</v>
      </c>
      <c r="G78" s="37"/>
      <c r="H78" s="13">
        <v>5</v>
      </c>
      <c r="I78" s="92">
        <v>2</v>
      </c>
      <c r="J78" s="111">
        <v>1</v>
      </c>
      <c r="K78" s="15"/>
      <c r="L78" s="26">
        <v>1</v>
      </c>
      <c r="M78" s="28" t="s">
        <v>1207</v>
      </c>
    </row>
    <row r="79" spans="1:13">
      <c r="A79" s="5" t="s">
        <v>1299</v>
      </c>
      <c r="B79" s="3" t="s">
        <v>1300</v>
      </c>
      <c r="D79" s="24">
        <v>121</v>
      </c>
      <c r="E79" s="24">
        <v>6</v>
      </c>
      <c r="F79" s="29" t="s">
        <v>1142</v>
      </c>
      <c r="G79" s="37"/>
      <c r="H79" s="13">
        <v>5</v>
      </c>
      <c r="I79" s="92">
        <v>1</v>
      </c>
      <c r="J79" s="111">
        <v>1</v>
      </c>
      <c r="K79" s="15"/>
      <c r="L79" s="26">
        <v>1</v>
      </c>
      <c r="M79" s="28" t="s">
        <v>64</v>
      </c>
    </row>
    <row r="80" spans="1:13">
      <c r="A80" s="5" t="s">
        <v>1301</v>
      </c>
      <c r="B80" s="3" t="s">
        <v>1302</v>
      </c>
      <c r="D80" s="24">
        <v>121</v>
      </c>
      <c r="E80" s="24">
        <v>7</v>
      </c>
      <c r="F80" s="29" t="s">
        <v>1142</v>
      </c>
      <c r="G80" s="37"/>
      <c r="H80" s="13">
        <v>7</v>
      </c>
      <c r="I80" s="92">
        <v>3</v>
      </c>
      <c r="J80" s="111">
        <v>0</v>
      </c>
      <c r="K80" s="15"/>
      <c r="L80" s="26">
        <v>1</v>
      </c>
      <c r="M80" s="28">
        <v>2</v>
      </c>
    </row>
    <row r="81" spans="1:13">
      <c r="A81" s="5" t="s">
        <v>1303</v>
      </c>
      <c r="B81" s="3" t="s">
        <v>1304</v>
      </c>
      <c r="D81" s="24">
        <v>121</v>
      </c>
      <c r="E81" s="24">
        <v>8</v>
      </c>
      <c r="F81" s="29" t="s">
        <v>1137</v>
      </c>
      <c r="G81" s="37"/>
      <c r="H81" s="13">
        <v>5</v>
      </c>
      <c r="I81" s="92">
        <v>3</v>
      </c>
      <c r="J81" s="111">
        <v>0</v>
      </c>
      <c r="K81" s="15"/>
      <c r="L81" s="26">
        <v>1</v>
      </c>
      <c r="M81" s="28" t="s">
        <v>757</v>
      </c>
    </row>
    <row r="82" spans="1:13">
      <c r="A82" s="5" t="s">
        <v>1305</v>
      </c>
      <c r="B82" s="3" t="s">
        <v>1306</v>
      </c>
      <c r="D82" s="24">
        <v>121</v>
      </c>
      <c r="E82" s="24">
        <v>9</v>
      </c>
      <c r="F82" s="29" t="s">
        <v>1134</v>
      </c>
      <c r="G82" s="37"/>
      <c r="H82" s="13">
        <v>5</v>
      </c>
      <c r="I82" s="92">
        <v>2</v>
      </c>
      <c r="J82" s="111">
        <v>1</v>
      </c>
      <c r="K82" s="15">
        <v>1</v>
      </c>
      <c r="L82" s="26">
        <v>1</v>
      </c>
      <c r="M82" s="28" t="s">
        <v>965</v>
      </c>
    </row>
    <row r="83" spans="1:13">
      <c r="A83" s="5" t="s">
        <v>1307</v>
      </c>
      <c r="B83" s="3" t="s">
        <v>1308</v>
      </c>
      <c r="D83" s="24">
        <v>121</v>
      </c>
      <c r="E83" s="24">
        <v>10</v>
      </c>
      <c r="F83" s="29" t="s">
        <v>1142</v>
      </c>
      <c r="G83" s="37"/>
      <c r="H83" s="13">
        <v>7</v>
      </c>
      <c r="I83" s="92">
        <v>3</v>
      </c>
      <c r="J83" s="111">
        <v>0</v>
      </c>
      <c r="K83" s="15"/>
      <c r="L83" s="26">
        <v>1</v>
      </c>
      <c r="M83" s="28" t="s">
        <v>64</v>
      </c>
    </row>
    <row r="84" spans="1:13" ht="16.5">
      <c r="A84" s="5" t="s">
        <v>1309</v>
      </c>
      <c r="B84" s="3" t="s">
        <v>1310</v>
      </c>
      <c r="D84" s="24">
        <v>121</v>
      </c>
      <c r="E84" s="24">
        <v>11</v>
      </c>
      <c r="F84" s="35" t="s">
        <v>1150</v>
      </c>
      <c r="G84" s="38"/>
      <c r="H84" s="86">
        <v>5</v>
      </c>
      <c r="I84" s="94">
        <v>1</v>
      </c>
      <c r="J84" s="113">
        <v>1</v>
      </c>
      <c r="K84" s="87">
        <v>1</v>
      </c>
      <c r="L84" s="26">
        <v>1</v>
      </c>
      <c r="M84" s="28" t="s">
        <v>64</v>
      </c>
    </row>
    <row r="85" spans="1:13">
      <c r="A85" s="5" t="s">
        <v>1311</v>
      </c>
      <c r="B85" s="3" t="s">
        <v>1312</v>
      </c>
      <c r="D85" s="24">
        <v>121</v>
      </c>
      <c r="E85" s="24">
        <v>12</v>
      </c>
      <c r="F85" s="29" t="s">
        <v>1183</v>
      </c>
      <c r="G85" s="37"/>
      <c r="H85" s="13">
        <v>7</v>
      </c>
      <c r="I85" s="92">
        <v>3</v>
      </c>
      <c r="J85" s="111">
        <v>0</v>
      </c>
      <c r="K85" s="15"/>
      <c r="L85" s="26">
        <v>1</v>
      </c>
      <c r="M85" s="28">
        <v>1</v>
      </c>
    </row>
    <row r="86" spans="1:13">
      <c r="A86" s="5" t="s">
        <v>1313</v>
      </c>
      <c r="B86" s="3" t="s">
        <v>1314</v>
      </c>
      <c r="D86" s="24">
        <v>121</v>
      </c>
      <c r="E86" s="24">
        <v>13</v>
      </c>
      <c r="F86" s="29" t="s">
        <v>1238</v>
      </c>
      <c r="G86" s="37"/>
      <c r="H86" s="13">
        <v>5</v>
      </c>
      <c r="I86" s="92">
        <v>5</v>
      </c>
      <c r="J86" s="111">
        <v>0</v>
      </c>
      <c r="K86" s="15"/>
      <c r="L86" s="26">
        <v>1</v>
      </c>
      <c r="M86" s="28" t="s">
        <v>1007</v>
      </c>
    </row>
    <row r="87" spans="1:13">
      <c r="A87" s="5" t="s">
        <v>1315</v>
      </c>
      <c r="B87" s="3" t="s">
        <v>1316</v>
      </c>
      <c r="D87" s="24">
        <v>122</v>
      </c>
      <c r="E87" s="24">
        <v>1</v>
      </c>
      <c r="F87" s="29" t="s">
        <v>1238</v>
      </c>
      <c r="G87" s="37"/>
      <c r="H87" s="13">
        <v>5</v>
      </c>
      <c r="I87" s="92">
        <v>5</v>
      </c>
      <c r="J87" s="111">
        <v>0</v>
      </c>
      <c r="K87" s="15"/>
      <c r="L87" s="26">
        <v>1</v>
      </c>
      <c r="M87" s="28">
        <v>2</v>
      </c>
    </row>
    <row r="88" spans="1:13">
      <c r="A88" s="5" t="s">
        <v>1317</v>
      </c>
      <c r="B88" s="3" t="s">
        <v>1318</v>
      </c>
      <c r="D88" s="24">
        <v>122</v>
      </c>
      <c r="E88" s="24">
        <v>2</v>
      </c>
      <c r="F88" s="29" t="s">
        <v>1160</v>
      </c>
      <c r="G88" s="37"/>
      <c r="H88" s="13">
        <v>5</v>
      </c>
      <c r="I88" s="92">
        <v>4</v>
      </c>
      <c r="J88" s="111">
        <v>1</v>
      </c>
      <c r="K88" s="15"/>
      <c r="L88" s="26">
        <v>1</v>
      </c>
      <c r="M88" s="28" t="s">
        <v>68</v>
      </c>
    </row>
    <row r="89" spans="1:13">
      <c r="A89" s="5" t="s">
        <v>1319</v>
      </c>
      <c r="B89" s="3" t="s">
        <v>1320</v>
      </c>
      <c r="D89" s="24">
        <v>122</v>
      </c>
      <c r="E89" s="24">
        <v>3</v>
      </c>
      <c r="F89" s="29" t="s">
        <v>1145</v>
      </c>
      <c r="G89" s="37"/>
      <c r="H89" s="13">
        <v>5</v>
      </c>
      <c r="I89" s="92">
        <v>2</v>
      </c>
      <c r="J89" s="111">
        <v>1</v>
      </c>
      <c r="K89" s="15">
        <v>1</v>
      </c>
      <c r="L89" s="26">
        <v>1</v>
      </c>
      <c r="M89" s="28" t="s">
        <v>923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F4A1-EB29-4110-A15E-0C8B2BB537F1}">
  <dimension ref="A1:B124"/>
  <sheetViews>
    <sheetView topLeftCell="A86" workbookViewId="0">
      <selection activeCell="B107" sqref="B107"/>
    </sheetView>
  </sheetViews>
  <sheetFormatPr defaultRowHeight="15"/>
  <cols>
    <col min="1" max="1" width="11.5703125" bestFit="1" customWidth="1"/>
    <col min="2" max="2" width="29.28515625" customWidth="1"/>
  </cols>
  <sheetData>
    <row r="1" spans="1:2">
      <c r="A1" t="s">
        <v>1321</v>
      </c>
    </row>
    <row r="2" spans="1:2" ht="15.75">
      <c r="A2">
        <v>1</v>
      </c>
      <c r="B2" s="210" t="s">
        <v>1322</v>
      </c>
    </row>
    <row r="3" spans="1:2" ht="15.75">
      <c r="A3">
        <v>2</v>
      </c>
      <c r="B3" s="210" t="s">
        <v>1322</v>
      </c>
    </row>
    <row r="4" spans="1:2" ht="15.75">
      <c r="A4">
        <v>3</v>
      </c>
      <c r="B4" s="210" t="s">
        <v>1322</v>
      </c>
    </row>
    <row r="5" spans="1:2" ht="15.75">
      <c r="A5">
        <v>4</v>
      </c>
      <c r="B5" s="210" t="s">
        <v>1322</v>
      </c>
    </row>
    <row r="6" spans="1:2" ht="15.75">
      <c r="A6">
        <v>5</v>
      </c>
      <c r="B6" s="210" t="s">
        <v>1322</v>
      </c>
    </row>
    <row r="7" spans="1:2" ht="15.75">
      <c r="A7">
        <v>6</v>
      </c>
      <c r="B7" s="210" t="s">
        <v>1322</v>
      </c>
    </row>
    <row r="8" spans="1:2" ht="15.75">
      <c r="A8">
        <v>7</v>
      </c>
      <c r="B8" s="210" t="s">
        <v>1322</v>
      </c>
    </row>
    <row r="9" spans="1:2" ht="15.75">
      <c r="A9">
        <v>8</v>
      </c>
      <c r="B9" s="210" t="s">
        <v>1322</v>
      </c>
    </row>
    <row r="10" spans="1:2" ht="15.75">
      <c r="A10">
        <v>9</v>
      </c>
      <c r="B10" s="210" t="s">
        <v>1322</v>
      </c>
    </row>
    <row r="11" spans="1:2" ht="15.75">
      <c r="A11">
        <v>10</v>
      </c>
      <c r="B11" s="210" t="s">
        <v>1322</v>
      </c>
    </row>
    <row r="12" spans="1:2" ht="15.75">
      <c r="A12">
        <v>11</v>
      </c>
      <c r="B12" s="210" t="s">
        <v>1322</v>
      </c>
    </row>
    <row r="13" spans="1:2" ht="15.75">
      <c r="A13">
        <v>12</v>
      </c>
      <c r="B13" s="210" t="s">
        <v>1322</v>
      </c>
    </row>
    <row r="14" spans="1:2" ht="15.75">
      <c r="A14">
        <v>13</v>
      </c>
      <c r="B14" s="210" t="s">
        <v>1322</v>
      </c>
    </row>
    <row r="15" spans="1:2" ht="15.75">
      <c r="A15">
        <v>14</v>
      </c>
      <c r="B15" s="210" t="s">
        <v>1322</v>
      </c>
    </row>
    <row r="16" spans="1:2" ht="15.75">
      <c r="A16">
        <v>15</v>
      </c>
      <c r="B16" s="210" t="s">
        <v>1322</v>
      </c>
    </row>
    <row r="17" spans="1:2" ht="15.75">
      <c r="A17">
        <v>16</v>
      </c>
      <c r="B17" s="210" t="s">
        <v>1322</v>
      </c>
    </row>
    <row r="18" spans="1:2" ht="15.75">
      <c r="A18">
        <v>17</v>
      </c>
      <c r="B18" s="210" t="s">
        <v>1322</v>
      </c>
    </row>
    <row r="19" spans="1:2" ht="15.75">
      <c r="A19">
        <v>18</v>
      </c>
      <c r="B19" s="210" t="s">
        <v>1322</v>
      </c>
    </row>
    <row r="20" spans="1:2" ht="15.75">
      <c r="A20">
        <v>19</v>
      </c>
      <c r="B20" s="210" t="s">
        <v>395</v>
      </c>
    </row>
    <row r="21" spans="1:2" ht="15.75">
      <c r="A21">
        <v>20</v>
      </c>
      <c r="B21" s="210" t="s">
        <v>1322</v>
      </c>
    </row>
    <row r="22" spans="1:2" ht="15.75">
      <c r="A22">
        <v>21</v>
      </c>
      <c r="B22" s="210" t="s">
        <v>1322</v>
      </c>
    </row>
    <row r="23" spans="1:2" ht="15.75">
      <c r="A23">
        <v>22</v>
      </c>
      <c r="B23" s="210" t="s">
        <v>1322</v>
      </c>
    </row>
    <row r="24" spans="1:2" ht="15.75">
      <c r="A24">
        <v>23</v>
      </c>
      <c r="B24" s="210" t="s">
        <v>1323</v>
      </c>
    </row>
    <row r="25" spans="1:2" ht="15.75">
      <c r="A25">
        <v>24</v>
      </c>
      <c r="B25" s="210" t="s">
        <v>1322</v>
      </c>
    </row>
    <row r="26" spans="1:2" ht="15.75">
      <c r="A26">
        <v>25</v>
      </c>
      <c r="B26" s="210" t="s">
        <v>1322</v>
      </c>
    </row>
    <row r="27" spans="1:2" ht="15.75">
      <c r="A27">
        <v>26</v>
      </c>
      <c r="B27" s="210" t="s">
        <v>1322</v>
      </c>
    </row>
    <row r="28" spans="1:2" ht="15.75">
      <c r="A28">
        <v>27</v>
      </c>
      <c r="B28" s="210" t="s">
        <v>1322</v>
      </c>
    </row>
    <row r="29" spans="1:2" ht="15.75">
      <c r="A29">
        <v>28</v>
      </c>
      <c r="B29" s="210" t="s">
        <v>1323</v>
      </c>
    </row>
    <row r="30" spans="1:2" ht="15.75">
      <c r="A30">
        <v>29</v>
      </c>
      <c r="B30" s="210" t="s">
        <v>1322</v>
      </c>
    </row>
    <row r="31" spans="1:2" ht="15.75">
      <c r="A31">
        <v>30</v>
      </c>
      <c r="B31" s="210" t="s">
        <v>1322</v>
      </c>
    </row>
    <row r="32" spans="1:2" ht="15.75">
      <c r="A32">
        <v>31</v>
      </c>
      <c r="B32" s="210" t="s">
        <v>1322</v>
      </c>
    </row>
    <row r="33" spans="1:2" ht="15.75">
      <c r="A33">
        <v>32</v>
      </c>
      <c r="B33" s="210" t="s">
        <v>1322</v>
      </c>
    </row>
    <row r="34" spans="1:2" ht="15.75">
      <c r="A34">
        <v>33</v>
      </c>
      <c r="B34" s="210" t="s">
        <v>1324</v>
      </c>
    </row>
    <row r="35" spans="1:2" ht="15.75">
      <c r="A35">
        <v>34</v>
      </c>
      <c r="B35" s="210" t="s">
        <v>1325</v>
      </c>
    </row>
    <row r="36" spans="1:2" ht="15.75">
      <c r="A36">
        <v>35</v>
      </c>
      <c r="B36" s="210" t="s">
        <v>1326</v>
      </c>
    </row>
    <row r="37" spans="1:2" ht="15.75">
      <c r="A37">
        <v>36</v>
      </c>
      <c r="B37" s="210" t="s">
        <v>1325</v>
      </c>
    </row>
    <row r="38" spans="1:2" ht="15.75">
      <c r="A38">
        <v>37</v>
      </c>
      <c r="B38" s="210" t="s">
        <v>1322</v>
      </c>
    </row>
    <row r="39" spans="1:2" ht="15.75">
      <c r="A39">
        <v>38</v>
      </c>
      <c r="B39" s="210" t="s">
        <v>1322</v>
      </c>
    </row>
    <row r="40" spans="1:2" ht="15.75">
      <c r="A40">
        <v>39</v>
      </c>
      <c r="B40" s="210" t="s">
        <v>1322</v>
      </c>
    </row>
    <row r="41" spans="1:2" ht="15.75">
      <c r="A41">
        <v>40</v>
      </c>
      <c r="B41" s="210" t="s">
        <v>1322</v>
      </c>
    </row>
    <row r="42" spans="1:2" ht="15.75">
      <c r="A42">
        <v>41</v>
      </c>
      <c r="B42" s="210" t="s">
        <v>1322</v>
      </c>
    </row>
    <row r="43" spans="1:2" ht="15.75">
      <c r="A43">
        <v>42</v>
      </c>
      <c r="B43" s="210" t="s">
        <v>1322</v>
      </c>
    </row>
    <row r="44" spans="1:2" ht="15.75">
      <c r="A44">
        <v>43</v>
      </c>
      <c r="B44" s="210" t="s">
        <v>1322</v>
      </c>
    </row>
    <row r="45" spans="1:2" ht="15.75">
      <c r="A45">
        <v>44</v>
      </c>
      <c r="B45" s="210" t="s">
        <v>1322</v>
      </c>
    </row>
    <row r="46" spans="1:2" ht="15.75">
      <c r="A46">
        <v>45</v>
      </c>
      <c r="B46" s="210" t="s">
        <v>1322</v>
      </c>
    </row>
    <row r="47" spans="1:2" ht="15.75">
      <c r="A47">
        <v>46</v>
      </c>
      <c r="B47" s="210" t="s">
        <v>1322</v>
      </c>
    </row>
    <row r="48" spans="1:2" ht="15.75">
      <c r="A48">
        <v>47</v>
      </c>
      <c r="B48" s="210" t="s">
        <v>1322</v>
      </c>
    </row>
    <row r="49" spans="1:2" ht="15.75">
      <c r="A49">
        <v>48</v>
      </c>
      <c r="B49" s="210" t="s">
        <v>1322</v>
      </c>
    </row>
    <row r="50" spans="1:2" ht="15.75">
      <c r="A50">
        <v>49</v>
      </c>
      <c r="B50" s="210" t="s">
        <v>1322</v>
      </c>
    </row>
    <row r="51" spans="1:2" ht="15.75">
      <c r="A51">
        <v>50</v>
      </c>
      <c r="B51" s="210" t="s">
        <v>1322</v>
      </c>
    </row>
    <row r="52" spans="1:2" ht="15.75">
      <c r="A52">
        <v>51</v>
      </c>
      <c r="B52" s="210" t="s">
        <v>1327</v>
      </c>
    </row>
    <row r="53" spans="1:2" ht="15.75">
      <c r="A53">
        <v>52</v>
      </c>
      <c r="B53" s="210" t="s">
        <v>1322</v>
      </c>
    </row>
    <row r="54" spans="1:2" ht="15.75">
      <c r="A54">
        <v>53</v>
      </c>
      <c r="B54" s="210" t="s">
        <v>1322</v>
      </c>
    </row>
    <row r="55" spans="1:2" ht="15.75">
      <c r="A55">
        <v>54</v>
      </c>
      <c r="B55" s="210" t="s">
        <v>1322</v>
      </c>
    </row>
    <row r="56" spans="1:2" ht="15.75">
      <c r="A56">
        <v>55</v>
      </c>
      <c r="B56" s="210" t="s">
        <v>1322</v>
      </c>
    </row>
    <row r="57" spans="1:2" ht="15.75">
      <c r="A57">
        <v>56</v>
      </c>
      <c r="B57" s="210" t="s">
        <v>1322</v>
      </c>
    </row>
    <row r="58" spans="1:2" ht="15.75">
      <c r="A58">
        <v>57</v>
      </c>
      <c r="B58" s="210" t="s">
        <v>1322</v>
      </c>
    </row>
    <row r="59" spans="1:2" ht="15.75">
      <c r="A59">
        <v>58</v>
      </c>
      <c r="B59" s="210" t="s">
        <v>1322</v>
      </c>
    </row>
    <row r="60" spans="1:2" ht="15.75">
      <c r="A60">
        <v>59</v>
      </c>
      <c r="B60" s="210" t="s">
        <v>1322</v>
      </c>
    </row>
    <row r="61" spans="1:2" ht="15.75">
      <c r="A61">
        <v>60</v>
      </c>
      <c r="B61" s="210" t="s">
        <v>1322</v>
      </c>
    </row>
    <row r="62" spans="1:2" ht="15.75">
      <c r="A62">
        <v>61</v>
      </c>
      <c r="B62" s="210" t="s">
        <v>1322</v>
      </c>
    </row>
    <row r="63" spans="1:2" ht="15.75">
      <c r="A63">
        <v>62</v>
      </c>
      <c r="B63" s="210" t="s">
        <v>1322</v>
      </c>
    </row>
    <row r="64" spans="1:2" ht="15.75">
      <c r="A64">
        <v>63</v>
      </c>
      <c r="B64" s="210" t="s">
        <v>1322</v>
      </c>
    </row>
    <row r="65" spans="1:2" ht="15.75">
      <c r="A65">
        <v>64</v>
      </c>
      <c r="B65" s="210" t="s">
        <v>1322</v>
      </c>
    </row>
    <row r="66" spans="1:2" ht="15.75">
      <c r="A66">
        <v>65</v>
      </c>
      <c r="B66" s="210" t="s">
        <v>1322</v>
      </c>
    </row>
    <row r="67" spans="1:2" ht="15.75">
      <c r="A67">
        <v>66</v>
      </c>
      <c r="B67" s="210" t="s">
        <v>1322</v>
      </c>
    </row>
    <row r="68" spans="1:2" ht="15.75">
      <c r="A68">
        <v>67</v>
      </c>
      <c r="B68" s="210" t="s">
        <v>1322</v>
      </c>
    </row>
    <row r="69" spans="1:2" ht="15.75">
      <c r="A69">
        <v>68</v>
      </c>
      <c r="B69" s="210" t="s">
        <v>1322</v>
      </c>
    </row>
    <row r="70" spans="1:2" ht="15.75">
      <c r="A70">
        <v>69</v>
      </c>
      <c r="B70" s="210" t="s">
        <v>1322</v>
      </c>
    </row>
    <row r="71" spans="1:2" ht="15.75">
      <c r="A71">
        <v>70</v>
      </c>
      <c r="B71" s="210" t="s">
        <v>1322</v>
      </c>
    </row>
    <row r="72" spans="1:2" ht="15.75">
      <c r="A72">
        <v>71</v>
      </c>
      <c r="B72" s="210" t="s">
        <v>1322</v>
      </c>
    </row>
    <row r="73" spans="1:2" ht="15.75">
      <c r="A73">
        <v>72</v>
      </c>
      <c r="B73" s="210" t="s">
        <v>1322</v>
      </c>
    </row>
    <row r="74" spans="1:2" ht="15.75">
      <c r="A74">
        <v>73</v>
      </c>
      <c r="B74" s="210" t="s">
        <v>1322</v>
      </c>
    </row>
    <row r="75" spans="1:2" ht="15.75">
      <c r="A75">
        <v>74</v>
      </c>
      <c r="B75" s="210" t="s">
        <v>1322</v>
      </c>
    </row>
    <row r="76" spans="1:2" ht="15.75">
      <c r="A76">
        <v>75</v>
      </c>
      <c r="B76" s="210" t="s">
        <v>1322</v>
      </c>
    </row>
    <row r="77" spans="1:2" ht="15.75">
      <c r="A77">
        <v>76</v>
      </c>
      <c r="B77" s="210" t="s">
        <v>1322</v>
      </c>
    </row>
    <row r="78" spans="1:2" ht="15.75">
      <c r="A78">
        <v>77</v>
      </c>
      <c r="B78" s="210" t="s">
        <v>1322</v>
      </c>
    </row>
    <row r="79" spans="1:2" ht="15.75">
      <c r="A79">
        <v>78</v>
      </c>
      <c r="B79" s="210" t="s">
        <v>1322</v>
      </c>
    </row>
    <row r="80" spans="1:2" ht="15.75">
      <c r="A80">
        <v>79</v>
      </c>
      <c r="B80" s="210" t="s">
        <v>1322</v>
      </c>
    </row>
    <row r="81" spans="1:2" ht="15.75">
      <c r="A81">
        <v>80</v>
      </c>
      <c r="B81" s="210" t="s">
        <v>1322</v>
      </c>
    </row>
    <row r="82" spans="1:2" ht="15.75">
      <c r="A82">
        <v>81</v>
      </c>
      <c r="B82" s="210" t="s">
        <v>1322</v>
      </c>
    </row>
    <row r="83" spans="1:2" ht="15.75">
      <c r="A83">
        <v>82</v>
      </c>
      <c r="B83" s="210" t="s">
        <v>1322</v>
      </c>
    </row>
    <row r="84" spans="1:2" ht="15.75">
      <c r="A84">
        <v>83</v>
      </c>
      <c r="B84" s="210" t="s">
        <v>1322</v>
      </c>
    </row>
    <row r="85" spans="1:2" ht="15.75">
      <c r="A85">
        <v>84</v>
      </c>
      <c r="B85" s="210" t="s">
        <v>1322</v>
      </c>
    </row>
    <row r="86" spans="1:2" ht="15.75">
      <c r="A86">
        <v>85</v>
      </c>
      <c r="B86" s="210" t="s">
        <v>1322</v>
      </c>
    </row>
    <row r="87" spans="1:2" ht="15.75">
      <c r="A87">
        <v>86</v>
      </c>
      <c r="B87" s="210" t="s">
        <v>1322</v>
      </c>
    </row>
    <row r="88" spans="1:2" ht="15.75">
      <c r="A88">
        <v>87</v>
      </c>
      <c r="B88" s="210" t="s">
        <v>1322</v>
      </c>
    </row>
    <row r="89" spans="1:2" ht="15.75">
      <c r="A89">
        <v>88</v>
      </c>
      <c r="B89" s="210" t="s">
        <v>1322</v>
      </c>
    </row>
    <row r="90" spans="1:2" ht="15.75">
      <c r="A90">
        <v>89</v>
      </c>
      <c r="B90" s="210" t="s">
        <v>1322</v>
      </c>
    </row>
    <row r="91" spans="1:2" ht="15.75">
      <c r="A91">
        <v>90</v>
      </c>
      <c r="B91" s="210" t="s">
        <v>1328</v>
      </c>
    </row>
    <row r="92" spans="1:2" ht="15.75">
      <c r="A92">
        <v>91</v>
      </c>
      <c r="B92" s="210" t="s">
        <v>1322</v>
      </c>
    </row>
    <row r="93" spans="1:2" ht="15.75">
      <c r="A93">
        <v>92</v>
      </c>
      <c r="B93" s="210" t="s">
        <v>1329</v>
      </c>
    </row>
    <row r="94" spans="1:2" ht="15.75">
      <c r="A94">
        <v>93</v>
      </c>
      <c r="B94" s="210" t="s">
        <v>1322</v>
      </c>
    </row>
    <row r="95" spans="1:2" ht="15.75">
      <c r="A95">
        <v>94</v>
      </c>
      <c r="B95" s="210" t="s">
        <v>1322</v>
      </c>
    </row>
    <row r="96" spans="1:2" ht="15.75">
      <c r="A96">
        <v>95</v>
      </c>
      <c r="B96" s="210" t="s">
        <v>1322</v>
      </c>
    </row>
    <row r="97" spans="1:2" ht="15.75">
      <c r="A97">
        <v>96</v>
      </c>
      <c r="B97" s="210" t="s">
        <v>1322</v>
      </c>
    </row>
    <row r="98" spans="1:2" ht="15.75">
      <c r="A98">
        <v>97</v>
      </c>
      <c r="B98" s="210" t="s">
        <v>1322</v>
      </c>
    </row>
    <row r="99" spans="1:2" ht="15.75">
      <c r="A99">
        <v>98</v>
      </c>
      <c r="B99" s="210" t="s">
        <v>1322</v>
      </c>
    </row>
    <row r="100" spans="1:2" ht="15.75">
      <c r="A100">
        <v>99</v>
      </c>
      <c r="B100" s="210" t="s">
        <v>1330</v>
      </c>
    </row>
    <row r="101" spans="1:2" ht="15.75">
      <c r="A101">
        <v>100</v>
      </c>
      <c r="B101" s="210" t="s">
        <v>1322</v>
      </c>
    </row>
    <row r="102" spans="1:2" ht="15.75">
      <c r="A102">
        <v>101</v>
      </c>
      <c r="B102" s="210" t="s">
        <v>1331</v>
      </c>
    </row>
    <row r="103" spans="1:2" ht="15.75">
      <c r="A103">
        <v>102</v>
      </c>
      <c r="B103" s="210" t="s">
        <v>1322</v>
      </c>
    </row>
    <row r="104" spans="1:2" ht="15.75">
      <c r="A104">
        <v>103</v>
      </c>
      <c r="B104" s="210" t="s">
        <v>1322</v>
      </c>
    </row>
    <row r="105" spans="1:2" ht="15.75">
      <c r="A105">
        <v>104</v>
      </c>
      <c r="B105" s="210" t="s">
        <v>1322</v>
      </c>
    </row>
    <row r="106" spans="1:2" ht="15.75">
      <c r="A106">
        <v>105</v>
      </c>
      <c r="B106" s="210" t="s">
        <v>1322</v>
      </c>
    </row>
    <row r="107" spans="1:2" ht="15.75">
      <c r="A107">
        <v>106</v>
      </c>
      <c r="B107" s="210" t="s">
        <v>1332</v>
      </c>
    </row>
    <row r="108" spans="1:2" ht="15.75">
      <c r="A108">
        <v>107</v>
      </c>
      <c r="B108" s="210" t="s">
        <v>1322</v>
      </c>
    </row>
    <row r="109" spans="1:2" ht="15.75">
      <c r="A109">
        <v>108</v>
      </c>
      <c r="B109" s="210" t="s">
        <v>1322</v>
      </c>
    </row>
    <row r="110" spans="1:2" ht="15.75">
      <c r="A110">
        <v>109</v>
      </c>
      <c r="B110" s="210" t="s">
        <v>1333</v>
      </c>
    </row>
    <row r="111" spans="1:2" ht="15.75">
      <c r="A111">
        <v>110</v>
      </c>
      <c r="B111" s="210" t="s">
        <v>1322</v>
      </c>
    </row>
    <row r="112" spans="1:2" ht="15.75">
      <c r="A112">
        <v>111</v>
      </c>
      <c r="B112" s="210" t="s">
        <v>1322</v>
      </c>
    </row>
    <row r="113" spans="1:2" ht="15.75">
      <c r="A113">
        <v>112</v>
      </c>
      <c r="B113" s="210" t="s">
        <v>1322</v>
      </c>
    </row>
    <row r="114" spans="1:2" ht="15.75">
      <c r="A114">
        <v>113</v>
      </c>
      <c r="B114" s="210" t="s">
        <v>1322</v>
      </c>
    </row>
    <row r="115" spans="1:2" ht="15.75">
      <c r="A115">
        <v>114</v>
      </c>
      <c r="B115" s="210" t="s">
        <v>1322</v>
      </c>
    </row>
    <row r="116" spans="1:2" ht="15.75">
      <c r="A116">
        <v>115</v>
      </c>
      <c r="B116" s="210" t="s">
        <v>1322</v>
      </c>
    </row>
    <row r="117" spans="1:2" ht="15.75">
      <c r="A117">
        <v>116</v>
      </c>
      <c r="B117" s="210" t="s">
        <v>1322</v>
      </c>
    </row>
    <row r="118" spans="1:2" ht="15.75">
      <c r="A118">
        <v>117</v>
      </c>
      <c r="B118" s="210" t="s">
        <v>1322</v>
      </c>
    </row>
    <row r="119" spans="1:2" ht="15.75">
      <c r="A119">
        <v>118</v>
      </c>
      <c r="B119" s="210" t="s">
        <v>1322</v>
      </c>
    </row>
    <row r="120" spans="1:2" ht="15.75">
      <c r="A120">
        <v>119</v>
      </c>
      <c r="B120" s="210" t="s">
        <v>1322</v>
      </c>
    </row>
    <row r="121" spans="1:2" ht="15.75">
      <c r="A121">
        <v>120</v>
      </c>
      <c r="B121" s="210" t="s">
        <v>1334</v>
      </c>
    </row>
    <row r="122" spans="1:2" ht="15.75">
      <c r="A122">
        <v>121</v>
      </c>
      <c r="B122" s="210" t="s">
        <v>1334</v>
      </c>
    </row>
    <row r="123" spans="1:2" ht="15.75">
      <c r="A123">
        <v>122</v>
      </c>
      <c r="B123" s="210" t="s">
        <v>1335</v>
      </c>
    </row>
    <row r="124" spans="1:2" ht="15.75">
      <c r="A124">
        <v>123</v>
      </c>
      <c r="B124" s="210" t="s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Simona Nicolae</dc:creator>
  <cp:keywords/>
  <dc:description/>
  <cp:lastModifiedBy/>
  <cp:revision/>
  <dcterms:created xsi:type="dcterms:W3CDTF">2026-04-05T04:53:52Z</dcterms:created>
  <dcterms:modified xsi:type="dcterms:W3CDTF">2026-04-10T16:16:32Z</dcterms:modified>
  <cp:category/>
  <cp:contentStatus/>
</cp:coreProperties>
</file>